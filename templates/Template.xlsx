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PS Drive\Operations\Bids\1 - Basic Bid Documents\"/>
    </mc:Choice>
  </mc:AlternateContent>
  <xr:revisionPtr revIDLastSave="0" documentId="13_ncr:1_{E7D9B9A7-B534-4627-9E7F-6A1C553F5A62}" xr6:coauthVersionLast="47" xr6:coauthVersionMax="47" xr10:uidLastSave="{00000000-0000-0000-0000-000000000000}"/>
  <bookViews>
    <workbookView xWindow="-110" yWindow="-110" windowWidth="19420" windowHeight="11500" firstSheet="1" activeTab="2" xr2:uid="{473F0E37-56B5-44EB-AD8C-C664F09DA09C}"/>
  </bookViews>
  <sheets>
    <sheet name="Pricing" sheetId="5" r:id="rId1"/>
    <sheet name="Dates" sheetId="2" r:id="rId2"/>
    <sheet name="CC Bid Checklist" sheetId="6" r:id="rId3"/>
    <sheet name="TV &amp; CIPP LS" sheetId="7" r:id="rId4"/>
    <sheet name="MH Rehab" sheetId="8" r:id="rId5"/>
    <sheet name="Questions to Submit" sheetId="3" r:id="rId6"/>
    <sheet name="Responsibiliti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4" i="8" l="1"/>
  <c r="J283" i="8"/>
  <c r="J282" i="8"/>
  <c r="J281" i="8"/>
  <c r="J280" i="8"/>
  <c r="J279" i="8"/>
  <c r="J274" i="8"/>
  <c r="J273" i="8"/>
  <c r="J272" i="8"/>
  <c r="J271" i="8"/>
  <c r="J270" i="8"/>
  <c r="J269" i="8"/>
  <c r="J275" i="8" s="1"/>
  <c r="J264" i="8"/>
  <c r="J263" i="8"/>
  <c r="J262" i="8"/>
  <c r="J261" i="8"/>
  <c r="J260" i="8"/>
  <c r="J259" i="8"/>
  <c r="J265" i="8" s="1"/>
  <c r="J254" i="8"/>
  <c r="J253" i="8"/>
  <c r="J252" i="8"/>
  <c r="J251" i="8"/>
  <c r="J250" i="8"/>
  <c r="J249" i="8"/>
  <c r="J255" i="8" s="1"/>
  <c r="J244" i="8"/>
  <c r="J243" i="8"/>
  <c r="J242" i="8"/>
  <c r="J241" i="8"/>
  <c r="J240" i="8"/>
  <c r="J239" i="8"/>
  <c r="J234" i="8"/>
  <c r="J233" i="8"/>
  <c r="J232" i="8"/>
  <c r="J231" i="8"/>
  <c r="J230" i="8"/>
  <c r="J229" i="8"/>
  <c r="J235" i="8" s="1"/>
  <c r="A212" i="8"/>
  <c r="A211" i="8"/>
  <c r="A210" i="8"/>
  <c r="A209" i="8"/>
  <c r="A208" i="8"/>
  <c r="A206" i="8"/>
  <c r="P203" i="8"/>
  <c r="L203" i="8"/>
  <c r="I203" i="8"/>
  <c r="H203" i="8"/>
  <c r="O202" i="8"/>
  <c r="P202" i="8" s="1"/>
  <c r="L202" i="8"/>
  <c r="O201" i="8"/>
  <c r="P201" i="8" s="1"/>
  <c r="L201" i="8"/>
  <c r="O200" i="8"/>
  <c r="P200" i="8" s="1"/>
  <c r="L200" i="8"/>
  <c r="P199" i="8"/>
  <c r="O199" i="8"/>
  <c r="L199" i="8"/>
  <c r="O198" i="8"/>
  <c r="P198" i="8" s="1"/>
  <c r="L198" i="8"/>
  <c r="P197" i="8"/>
  <c r="O197" i="8"/>
  <c r="L197" i="8"/>
  <c r="O196" i="8"/>
  <c r="P196" i="8" s="1"/>
  <c r="L196" i="8"/>
  <c r="O195" i="8"/>
  <c r="P195" i="8" s="1"/>
  <c r="L195" i="8"/>
  <c r="O194" i="8"/>
  <c r="P194" i="8" s="1"/>
  <c r="L194" i="8"/>
  <c r="O193" i="8"/>
  <c r="P193" i="8" s="1"/>
  <c r="L193" i="8"/>
  <c r="O192" i="8"/>
  <c r="P192" i="8" s="1"/>
  <c r="L192" i="8"/>
  <c r="O191" i="8"/>
  <c r="P191" i="8" s="1"/>
  <c r="L191" i="8"/>
  <c r="O190" i="8"/>
  <c r="P190" i="8" s="1"/>
  <c r="L190" i="8"/>
  <c r="O189" i="8"/>
  <c r="P189" i="8" s="1"/>
  <c r="L189" i="8"/>
  <c r="O188" i="8"/>
  <c r="P188" i="8" s="1"/>
  <c r="L188" i="8"/>
  <c r="O187" i="8"/>
  <c r="P187" i="8" s="1"/>
  <c r="L187" i="8"/>
  <c r="O186" i="8"/>
  <c r="P186" i="8" s="1"/>
  <c r="L186" i="8"/>
  <c r="O185" i="8"/>
  <c r="P185" i="8" s="1"/>
  <c r="L185" i="8"/>
  <c r="O184" i="8"/>
  <c r="P184" i="8" s="1"/>
  <c r="L184" i="8"/>
  <c r="O183" i="8"/>
  <c r="P183" i="8" s="1"/>
  <c r="L183" i="8"/>
  <c r="O182" i="8"/>
  <c r="P182" i="8" s="1"/>
  <c r="L182" i="8"/>
  <c r="O181" i="8"/>
  <c r="P181" i="8" s="1"/>
  <c r="L181" i="8"/>
  <c r="O180" i="8"/>
  <c r="P180" i="8" s="1"/>
  <c r="L180" i="8"/>
  <c r="O179" i="8"/>
  <c r="P179" i="8" s="1"/>
  <c r="L179" i="8"/>
  <c r="O178" i="8"/>
  <c r="P178" i="8" s="1"/>
  <c r="L178" i="8"/>
  <c r="O177" i="8"/>
  <c r="P177" i="8" s="1"/>
  <c r="L177" i="8"/>
  <c r="O176" i="8"/>
  <c r="P176" i="8" s="1"/>
  <c r="L176" i="8"/>
  <c r="O175" i="8"/>
  <c r="P175" i="8" s="1"/>
  <c r="L175" i="8"/>
  <c r="O174" i="8"/>
  <c r="P174" i="8" s="1"/>
  <c r="L174" i="8"/>
  <c r="O173" i="8"/>
  <c r="P173" i="8" s="1"/>
  <c r="L173" i="8"/>
  <c r="O172" i="8"/>
  <c r="P172" i="8" s="1"/>
  <c r="L172" i="8"/>
  <c r="O171" i="8"/>
  <c r="P171" i="8" s="1"/>
  <c r="L171" i="8"/>
  <c r="O170" i="8"/>
  <c r="P170" i="8" s="1"/>
  <c r="L170" i="8"/>
  <c r="O169" i="8"/>
  <c r="P169" i="8" s="1"/>
  <c r="L169" i="8"/>
  <c r="O168" i="8"/>
  <c r="P168" i="8" s="1"/>
  <c r="L168" i="8"/>
  <c r="O167" i="8"/>
  <c r="P167" i="8" s="1"/>
  <c r="L167" i="8"/>
  <c r="O166" i="8"/>
  <c r="P166" i="8" s="1"/>
  <c r="L166" i="8"/>
  <c r="O165" i="8"/>
  <c r="P165" i="8" s="1"/>
  <c r="L165" i="8"/>
  <c r="O164" i="8"/>
  <c r="P164" i="8" s="1"/>
  <c r="L164" i="8"/>
  <c r="O163" i="8"/>
  <c r="P163" i="8" s="1"/>
  <c r="L163" i="8"/>
  <c r="O162" i="8"/>
  <c r="P162" i="8" s="1"/>
  <c r="L162" i="8"/>
  <c r="O161" i="8"/>
  <c r="P161" i="8" s="1"/>
  <c r="L161" i="8"/>
  <c r="O160" i="8"/>
  <c r="P160" i="8" s="1"/>
  <c r="L160" i="8"/>
  <c r="O159" i="8"/>
  <c r="P159" i="8" s="1"/>
  <c r="L159" i="8"/>
  <c r="O158" i="8"/>
  <c r="P158" i="8" s="1"/>
  <c r="L158" i="8"/>
  <c r="O157" i="8"/>
  <c r="P157" i="8" s="1"/>
  <c r="L157" i="8"/>
  <c r="O156" i="8"/>
  <c r="P156" i="8" s="1"/>
  <c r="L156" i="8"/>
  <c r="O155" i="8"/>
  <c r="P155" i="8" s="1"/>
  <c r="L155" i="8"/>
  <c r="O154" i="8"/>
  <c r="P154" i="8" s="1"/>
  <c r="L154" i="8"/>
  <c r="O153" i="8"/>
  <c r="P153" i="8" s="1"/>
  <c r="L153" i="8"/>
  <c r="O152" i="8"/>
  <c r="P152" i="8" s="1"/>
  <c r="L152" i="8"/>
  <c r="O151" i="8"/>
  <c r="P151" i="8" s="1"/>
  <c r="L151" i="8"/>
  <c r="O150" i="8"/>
  <c r="P150" i="8" s="1"/>
  <c r="L150" i="8"/>
  <c r="O149" i="8"/>
  <c r="P149" i="8" s="1"/>
  <c r="L149" i="8"/>
  <c r="O148" i="8"/>
  <c r="P148" i="8" s="1"/>
  <c r="L148" i="8"/>
  <c r="O147" i="8"/>
  <c r="P147" i="8" s="1"/>
  <c r="L147" i="8"/>
  <c r="O146" i="8"/>
  <c r="P146" i="8" s="1"/>
  <c r="L146" i="8"/>
  <c r="O145" i="8"/>
  <c r="P145" i="8" s="1"/>
  <c r="L145" i="8"/>
  <c r="O144" i="8"/>
  <c r="P144" i="8" s="1"/>
  <c r="L144" i="8"/>
  <c r="O143" i="8"/>
  <c r="P143" i="8" s="1"/>
  <c r="L143" i="8"/>
  <c r="O142" i="8"/>
  <c r="P142" i="8" s="1"/>
  <c r="L142" i="8"/>
  <c r="O141" i="8"/>
  <c r="P141" i="8" s="1"/>
  <c r="L141" i="8"/>
  <c r="O140" i="8"/>
  <c r="P140" i="8" s="1"/>
  <c r="L140" i="8"/>
  <c r="O139" i="8"/>
  <c r="P139" i="8" s="1"/>
  <c r="L139" i="8"/>
  <c r="O138" i="8"/>
  <c r="P138" i="8" s="1"/>
  <c r="L138" i="8"/>
  <c r="O137" i="8"/>
  <c r="P137" i="8" s="1"/>
  <c r="L137" i="8"/>
  <c r="O136" i="8"/>
  <c r="P136" i="8" s="1"/>
  <c r="L136" i="8"/>
  <c r="O135" i="8"/>
  <c r="P135" i="8" s="1"/>
  <c r="L135" i="8"/>
  <c r="O134" i="8"/>
  <c r="P134" i="8" s="1"/>
  <c r="L134" i="8"/>
  <c r="O133" i="8"/>
  <c r="P133" i="8" s="1"/>
  <c r="L133" i="8"/>
  <c r="O132" i="8"/>
  <c r="P132" i="8" s="1"/>
  <c r="L132" i="8"/>
  <c r="O131" i="8"/>
  <c r="P131" i="8" s="1"/>
  <c r="L131" i="8"/>
  <c r="O130" i="8"/>
  <c r="P130" i="8" s="1"/>
  <c r="L130" i="8"/>
  <c r="O129" i="8"/>
  <c r="P129" i="8" s="1"/>
  <c r="L129" i="8"/>
  <c r="O128" i="8"/>
  <c r="P128" i="8" s="1"/>
  <c r="L128" i="8"/>
  <c r="O127" i="8"/>
  <c r="P127" i="8" s="1"/>
  <c r="L127" i="8"/>
  <c r="O126" i="8"/>
  <c r="P126" i="8" s="1"/>
  <c r="L126" i="8"/>
  <c r="O125" i="8"/>
  <c r="P125" i="8" s="1"/>
  <c r="L125" i="8"/>
  <c r="O124" i="8"/>
  <c r="P124" i="8" s="1"/>
  <c r="L124" i="8"/>
  <c r="O123" i="8"/>
  <c r="P123" i="8" s="1"/>
  <c r="L123" i="8"/>
  <c r="O122" i="8"/>
  <c r="P122" i="8" s="1"/>
  <c r="L122" i="8"/>
  <c r="O121" i="8"/>
  <c r="P121" i="8" s="1"/>
  <c r="L121" i="8"/>
  <c r="O120" i="8"/>
  <c r="P120" i="8" s="1"/>
  <c r="L120" i="8"/>
  <c r="O119" i="8"/>
  <c r="P119" i="8" s="1"/>
  <c r="L119" i="8"/>
  <c r="O118" i="8"/>
  <c r="P118" i="8" s="1"/>
  <c r="L118" i="8"/>
  <c r="O117" i="8"/>
  <c r="P117" i="8" s="1"/>
  <c r="L117" i="8"/>
  <c r="O116" i="8"/>
  <c r="P116" i="8" s="1"/>
  <c r="L116" i="8"/>
  <c r="O115" i="8"/>
  <c r="P115" i="8" s="1"/>
  <c r="L115" i="8"/>
  <c r="O114" i="8"/>
  <c r="P114" i="8" s="1"/>
  <c r="L114" i="8"/>
  <c r="O113" i="8"/>
  <c r="P113" i="8" s="1"/>
  <c r="L113" i="8"/>
  <c r="O112" i="8"/>
  <c r="P112" i="8" s="1"/>
  <c r="L112" i="8"/>
  <c r="O111" i="8"/>
  <c r="P111" i="8" s="1"/>
  <c r="L111" i="8"/>
  <c r="O110" i="8"/>
  <c r="P110" i="8" s="1"/>
  <c r="L110" i="8"/>
  <c r="O109" i="8"/>
  <c r="P109" i="8" s="1"/>
  <c r="L109" i="8"/>
  <c r="O108" i="8"/>
  <c r="P108" i="8" s="1"/>
  <c r="L108" i="8"/>
  <c r="O107" i="8"/>
  <c r="P107" i="8" s="1"/>
  <c r="L107" i="8"/>
  <c r="O106" i="8"/>
  <c r="P106" i="8" s="1"/>
  <c r="L106" i="8"/>
  <c r="O105" i="8"/>
  <c r="P105" i="8" s="1"/>
  <c r="L105" i="8"/>
  <c r="O104" i="8"/>
  <c r="P104" i="8" s="1"/>
  <c r="L104" i="8"/>
  <c r="O103" i="8"/>
  <c r="P103" i="8" s="1"/>
  <c r="L103" i="8"/>
  <c r="O102" i="8"/>
  <c r="P102" i="8" s="1"/>
  <c r="L102" i="8"/>
  <c r="O101" i="8"/>
  <c r="P101" i="8" s="1"/>
  <c r="L101" i="8"/>
  <c r="O100" i="8"/>
  <c r="P100" i="8" s="1"/>
  <c r="L100" i="8"/>
  <c r="O99" i="8"/>
  <c r="P99" i="8" s="1"/>
  <c r="L99" i="8"/>
  <c r="O98" i="8"/>
  <c r="P98" i="8" s="1"/>
  <c r="L98" i="8"/>
  <c r="O97" i="8"/>
  <c r="P97" i="8" s="1"/>
  <c r="L97" i="8"/>
  <c r="O96" i="8"/>
  <c r="P96" i="8" s="1"/>
  <c r="L96" i="8"/>
  <c r="O95" i="8"/>
  <c r="P95" i="8" s="1"/>
  <c r="L95" i="8"/>
  <c r="O94" i="8"/>
  <c r="P94" i="8" s="1"/>
  <c r="L94" i="8"/>
  <c r="O93" i="8"/>
  <c r="P93" i="8" s="1"/>
  <c r="L93" i="8"/>
  <c r="O92" i="8"/>
  <c r="P92" i="8" s="1"/>
  <c r="L92" i="8"/>
  <c r="O91" i="8"/>
  <c r="P91" i="8" s="1"/>
  <c r="L91" i="8"/>
  <c r="O90" i="8"/>
  <c r="P90" i="8" s="1"/>
  <c r="L90" i="8"/>
  <c r="O89" i="8"/>
  <c r="P89" i="8" s="1"/>
  <c r="L89" i="8"/>
  <c r="O88" i="8"/>
  <c r="P88" i="8" s="1"/>
  <c r="L88" i="8"/>
  <c r="O87" i="8"/>
  <c r="P87" i="8" s="1"/>
  <c r="L87" i="8"/>
  <c r="O86" i="8"/>
  <c r="P86" i="8" s="1"/>
  <c r="L86" i="8"/>
  <c r="O85" i="8"/>
  <c r="P85" i="8" s="1"/>
  <c r="L85" i="8"/>
  <c r="O84" i="8"/>
  <c r="P84" i="8" s="1"/>
  <c r="L84" i="8"/>
  <c r="O83" i="8"/>
  <c r="P83" i="8" s="1"/>
  <c r="L83" i="8"/>
  <c r="O82" i="8"/>
  <c r="P82" i="8" s="1"/>
  <c r="L82" i="8"/>
  <c r="O81" i="8"/>
  <c r="P81" i="8" s="1"/>
  <c r="L81" i="8"/>
  <c r="O80" i="8"/>
  <c r="P80" i="8" s="1"/>
  <c r="L80" i="8"/>
  <c r="O79" i="8"/>
  <c r="P79" i="8" s="1"/>
  <c r="L79" i="8"/>
  <c r="O78" i="8"/>
  <c r="P78" i="8" s="1"/>
  <c r="L78" i="8"/>
  <c r="O77" i="8"/>
  <c r="P77" i="8" s="1"/>
  <c r="L77" i="8"/>
  <c r="O76" i="8"/>
  <c r="P76" i="8" s="1"/>
  <c r="L76" i="8"/>
  <c r="O75" i="8"/>
  <c r="P75" i="8" s="1"/>
  <c r="L75" i="8"/>
  <c r="O74" i="8"/>
  <c r="P74" i="8" s="1"/>
  <c r="L74" i="8"/>
  <c r="O73" i="8"/>
  <c r="P73" i="8" s="1"/>
  <c r="L73" i="8"/>
  <c r="O72" i="8"/>
  <c r="P72" i="8" s="1"/>
  <c r="L72" i="8"/>
  <c r="O71" i="8"/>
  <c r="P71" i="8" s="1"/>
  <c r="L71" i="8"/>
  <c r="O70" i="8"/>
  <c r="P70" i="8" s="1"/>
  <c r="L70" i="8"/>
  <c r="O69" i="8"/>
  <c r="P69" i="8" s="1"/>
  <c r="L69" i="8"/>
  <c r="O68" i="8"/>
  <c r="P68" i="8" s="1"/>
  <c r="L68" i="8"/>
  <c r="O67" i="8"/>
  <c r="P67" i="8" s="1"/>
  <c r="L67" i="8"/>
  <c r="O66" i="8"/>
  <c r="P66" i="8" s="1"/>
  <c r="L66" i="8"/>
  <c r="O65" i="8"/>
  <c r="P65" i="8" s="1"/>
  <c r="L65" i="8"/>
  <c r="O64" i="8"/>
  <c r="P64" i="8" s="1"/>
  <c r="L64" i="8"/>
  <c r="O63" i="8"/>
  <c r="P63" i="8" s="1"/>
  <c r="L63" i="8"/>
  <c r="O62" i="8"/>
  <c r="P62" i="8" s="1"/>
  <c r="L62" i="8"/>
  <c r="O61" i="8"/>
  <c r="P61" i="8" s="1"/>
  <c r="L61" i="8"/>
  <c r="P60" i="8"/>
  <c r="O60" i="8"/>
  <c r="L60" i="8"/>
  <c r="O59" i="8"/>
  <c r="P59" i="8" s="1"/>
  <c r="L59" i="8"/>
  <c r="O58" i="8"/>
  <c r="P58" i="8" s="1"/>
  <c r="L58" i="8"/>
  <c r="O57" i="8"/>
  <c r="P57" i="8" s="1"/>
  <c r="L57" i="8"/>
  <c r="O56" i="8"/>
  <c r="P56" i="8" s="1"/>
  <c r="L56" i="8"/>
  <c r="O55" i="8"/>
  <c r="P55" i="8" s="1"/>
  <c r="L55" i="8"/>
  <c r="P54" i="8"/>
  <c r="O54" i="8"/>
  <c r="L54" i="8"/>
  <c r="O53" i="8"/>
  <c r="P53" i="8" s="1"/>
  <c r="L53" i="8"/>
  <c r="O52" i="8"/>
  <c r="P52" i="8" s="1"/>
  <c r="L52" i="8"/>
  <c r="O51" i="8"/>
  <c r="P51" i="8" s="1"/>
  <c r="L51" i="8"/>
  <c r="O50" i="8"/>
  <c r="P50" i="8" s="1"/>
  <c r="L50" i="8"/>
  <c r="O49" i="8"/>
  <c r="P49" i="8" s="1"/>
  <c r="L49" i="8"/>
  <c r="O48" i="8"/>
  <c r="P48" i="8" s="1"/>
  <c r="L48" i="8"/>
  <c r="O47" i="8"/>
  <c r="P47" i="8" s="1"/>
  <c r="L47" i="8"/>
  <c r="O46" i="8"/>
  <c r="P46" i="8" s="1"/>
  <c r="L46" i="8"/>
  <c r="O45" i="8"/>
  <c r="P45" i="8" s="1"/>
  <c r="L45" i="8"/>
  <c r="O44" i="8"/>
  <c r="P44" i="8" s="1"/>
  <c r="L44" i="8"/>
  <c r="O43" i="8"/>
  <c r="P43" i="8" s="1"/>
  <c r="L43" i="8"/>
  <c r="O42" i="8"/>
  <c r="P42" i="8" s="1"/>
  <c r="L42" i="8"/>
  <c r="O41" i="8"/>
  <c r="P41" i="8" s="1"/>
  <c r="L41" i="8"/>
  <c r="O40" i="8"/>
  <c r="P40" i="8" s="1"/>
  <c r="L40" i="8"/>
  <c r="O39" i="8"/>
  <c r="P39" i="8" s="1"/>
  <c r="L39" i="8"/>
  <c r="O38" i="8"/>
  <c r="P38" i="8" s="1"/>
  <c r="L38" i="8"/>
  <c r="O37" i="8"/>
  <c r="P37" i="8" s="1"/>
  <c r="L37" i="8"/>
  <c r="O36" i="8"/>
  <c r="P36" i="8" s="1"/>
  <c r="L36" i="8"/>
  <c r="O35" i="8"/>
  <c r="P35" i="8" s="1"/>
  <c r="L35" i="8"/>
  <c r="O34" i="8"/>
  <c r="P34" i="8" s="1"/>
  <c r="L34" i="8"/>
  <c r="O33" i="8"/>
  <c r="P33" i="8" s="1"/>
  <c r="L33" i="8"/>
  <c r="O32" i="8"/>
  <c r="P32" i="8" s="1"/>
  <c r="L32" i="8"/>
  <c r="O31" i="8"/>
  <c r="P31" i="8" s="1"/>
  <c r="L31" i="8"/>
  <c r="O30" i="8"/>
  <c r="P30" i="8" s="1"/>
  <c r="L30" i="8"/>
  <c r="O29" i="8"/>
  <c r="P29" i="8" s="1"/>
  <c r="L29" i="8"/>
  <c r="O28" i="8"/>
  <c r="P28" i="8" s="1"/>
  <c r="L28" i="8"/>
  <c r="O27" i="8"/>
  <c r="P27" i="8" s="1"/>
  <c r="L27" i="8"/>
  <c r="O26" i="8"/>
  <c r="P26" i="8" s="1"/>
  <c r="L26" i="8"/>
  <c r="O25" i="8"/>
  <c r="P25" i="8" s="1"/>
  <c r="L25" i="8"/>
  <c r="O24" i="8"/>
  <c r="P24" i="8" s="1"/>
  <c r="L24" i="8"/>
  <c r="O23" i="8"/>
  <c r="P23" i="8" s="1"/>
  <c r="L23" i="8"/>
  <c r="O22" i="8"/>
  <c r="P22" i="8" s="1"/>
  <c r="L22" i="8"/>
  <c r="O21" i="8"/>
  <c r="P21" i="8" s="1"/>
  <c r="L21" i="8"/>
  <c r="O20" i="8"/>
  <c r="P20" i="8" s="1"/>
  <c r="L20" i="8"/>
  <c r="O19" i="8"/>
  <c r="P19" i="8" s="1"/>
  <c r="L19" i="8"/>
  <c r="O18" i="8"/>
  <c r="P18" i="8" s="1"/>
  <c r="L18" i="8"/>
  <c r="O17" i="8"/>
  <c r="P17" i="8" s="1"/>
  <c r="L17" i="8"/>
  <c r="O16" i="8"/>
  <c r="P16" i="8" s="1"/>
  <c r="L16" i="8"/>
  <c r="O15" i="8"/>
  <c r="P15" i="8" s="1"/>
  <c r="L15" i="8"/>
  <c r="O14" i="8"/>
  <c r="P14" i="8" s="1"/>
  <c r="L14" i="8"/>
  <c r="O13" i="8"/>
  <c r="P13" i="8" s="1"/>
  <c r="L13" i="8"/>
  <c r="O12" i="8"/>
  <c r="P12" i="8" s="1"/>
  <c r="L12" i="8"/>
  <c r="O11" i="8"/>
  <c r="P11" i="8" s="1"/>
  <c r="L11" i="8"/>
  <c r="O10" i="8"/>
  <c r="P10" i="8" s="1"/>
  <c r="L10" i="8"/>
  <c r="O9" i="8"/>
  <c r="P9" i="8" s="1"/>
  <c r="L9" i="8"/>
  <c r="O8" i="8"/>
  <c r="L8" i="8"/>
  <c r="O7" i="8"/>
  <c r="P7" i="8" s="1"/>
  <c r="L7" i="8"/>
  <c r="O6" i="8"/>
  <c r="P6" i="8" s="1"/>
  <c r="L6" i="8"/>
  <c r="P5" i="8"/>
  <c r="L5" i="8"/>
  <c r="J285" i="8" l="1"/>
  <c r="E212" i="8"/>
  <c r="E208" i="8"/>
  <c r="J245" i="8"/>
  <c r="E209" i="8"/>
  <c r="O207" i="8"/>
  <c r="P8" i="8"/>
  <c r="P207" i="8" s="1"/>
  <c r="E210" i="8"/>
  <c r="E211" i="8"/>
  <c r="AD28" i="7" l="1"/>
  <c r="AC28" i="7"/>
  <c r="AB28" i="7"/>
  <c r="AA28" i="7"/>
  <c r="Z28" i="7"/>
  <c r="Y28" i="7"/>
  <c r="X28" i="7"/>
  <c r="W28" i="7"/>
  <c r="V28" i="7"/>
  <c r="P28" i="7"/>
  <c r="N28" i="7"/>
  <c r="M28" i="7"/>
  <c r="L28" i="7"/>
  <c r="B28" i="7"/>
  <c r="A28" i="7"/>
  <c r="T26" i="7"/>
  <c r="S26" i="7"/>
  <c r="R26" i="7"/>
  <c r="T25" i="7"/>
  <c r="S25" i="7"/>
  <c r="R25" i="7"/>
  <c r="T24" i="7"/>
  <c r="S24" i="7"/>
  <c r="R24" i="7"/>
  <c r="T23" i="7"/>
  <c r="S23" i="7"/>
  <c r="R23" i="7"/>
  <c r="T22" i="7"/>
  <c r="S22" i="7"/>
  <c r="R22" i="7"/>
  <c r="T21" i="7"/>
  <c r="S21" i="7"/>
  <c r="R21" i="7"/>
  <c r="T20" i="7"/>
  <c r="S20" i="7"/>
  <c r="R20" i="7"/>
  <c r="T19" i="7"/>
  <c r="S19" i="7"/>
  <c r="R19" i="7"/>
  <c r="T18" i="7"/>
  <c r="S18" i="7"/>
  <c r="R18" i="7"/>
  <c r="T17" i="7"/>
  <c r="S17" i="7"/>
  <c r="R17" i="7"/>
  <c r="T16" i="7"/>
  <c r="S16" i="7"/>
  <c r="R16" i="7"/>
  <c r="T15" i="7"/>
  <c r="S15" i="7"/>
  <c r="R15" i="7"/>
  <c r="T14" i="7"/>
  <c r="S14" i="7"/>
  <c r="R14" i="7"/>
  <c r="T13" i="7"/>
  <c r="S13" i="7"/>
  <c r="R13" i="7"/>
  <c r="T12" i="7"/>
  <c r="S12" i="7"/>
  <c r="R12" i="7"/>
  <c r="T11" i="7"/>
  <c r="S11" i="7"/>
  <c r="R11" i="7"/>
  <c r="T10" i="7"/>
  <c r="S10" i="7"/>
  <c r="R10" i="7"/>
  <c r="T9" i="7"/>
  <c r="S9" i="7"/>
  <c r="R9" i="7"/>
  <c r="T8" i="7"/>
  <c r="S8" i="7"/>
  <c r="R8" i="7"/>
  <c r="T7" i="7"/>
  <c r="S7" i="7"/>
  <c r="R7" i="7"/>
  <c r="T6" i="7"/>
  <c r="S6" i="7"/>
  <c r="R6" i="7"/>
  <c r="T5" i="7"/>
  <c r="S5" i="7"/>
  <c r="R5" i="7"/>
  <c r="T4" i="7"/>
  <c r="T28" i="7" s="1"/>
  <c r="S4" i="7"/>
  <c r="S28" i="7" s="1"/>
  <c r="R4" i="7"/>
  <c r="R28" i="7" s="1"/>
</calcChain>
</file>

<file path=xl/sharedStrings.xml><?xml version="1.0" encoding="utf-8"?>
<sst xmlns="http://schemas.openxmlformats.org/spreadsheetml/2006/main" count="200" uniqueCount="176">
  <si>
    <t>Scheduled Date</t>
  </si>
  <si>
    <t>Action</t>
  </si>
  <si>
    <t>Date Performed</t>
  </si>
  <si>
    <t xml:space="preserve">Questions to submit: </t>
  </si>
  <si>
    <t>Attendee's:</t>
  </si>
  <si>
    <t>Owner/ Bid Name/ Bid Number</t>
  </si>
  <si>
    <t>Task</t>
  </si>
  <si>
    <t xml:space="preserve"> Specification Description </t>
  </si>
  <si>
    <t xml:space="preserve">Responsible Division? </t>
  </si>
  <si>
    <t xml:space="preserve">*Insurance Requirements </t>
  </si>
  <si>
    <t>Workers Comp</t>
  </si>
  <si>
    <t>Commercial General Liability</t>
  </si>
  <si>
    <t xml:space="preserve">Automobile Liability </t>
  </si>
  <si>
    <t>Required Submittal Forms</t>
  </si>
  <si>
    <t>Notification</t>
  </si>
  <si>
    <t>Bid Commitment/Ojection</t>
  </si>
  <si>
    <t>Submit Bid Bond Request (5%)</t>
  </si>
  <si>
    <t>Bid Due Date</t>
  </si>
  <si>
    <t xml:space="preserve">Bid Opening </t>
  </si>
  <si>
    <t>APS Internal Initial Bid Meeting</t>
  </si>
  <si>
    <t>APS Interal Final Bid-Meeting</t>
  </si>
  <si>
    <t>Owner's Pre-Bid Meeting</t>
  </si>
  <si>
    <t xml:space="preserve">Bid Question Deadline to Owner </t>
  </si>
  <si>
    <t>2026-001 - Sewer CIPP Lining Contract - Spring 2026</t>
  </si>
  <si>
    <t>Description</t>
  </si>
  <si>
    <t>Notes</t>
  </si>
  <si>
    <t>Comments</t>
  </si>
  <si>
    <t>Date to Send Bid:</t>
  </si>
  <si>
    <t>Vista Quote #</t>
  </si>
  <si>
    <t>Bidding As:</t>
  </si>
  <si>
    <t>Bid #</t>
  </si>
  <si>
    <t>Bid Name</t>
  </si>
  <si>
    <t>Date &amp; Time Due:</t>
  </si>
  <si>
    <t xml:space="preserve">Owner &amp; Owner Address </t>
  </si>
  <si>
    <t xml:space="preserve">Engineer? </t>
  </si>
  <si>
    <t>Contacts?</t>
  </si>
  <si>
    <t>Questions Due? Question To?</t>
  </si>
  <si>
    <t>Bid Docs Website:</t>
  </si>
  <si>
    <t>Pre-Bid?</t>
  </si>
  <si>
    <t>Site Visit?</t>
  </si>
  <si>
    <t>Submission type: Electronic / Hardcopy; Copies?</t>
  </si>
  <si>
    <t>Envelope Verbiage</t>
  </si>
  <si>
    <t>Scope</t>
  </si>
  <si>
    <t>Bid Bond?</t>
  </si>
  <si>
    <t>Exp. Date of Bid</t>
  </si>
  <si>
    <t>P &amp; P Bonds?</t>
  </si>
  <si>
    <t>Contract Time</t>
  </si>
  <si>
    <t>Awarded To?</t>
  </si>
  <si>
    <t>Liquidated Damages</t>
  </si>
  <si>
    <t>Warranty?</t>
  </si>
  <si>
    <t>License?</t>
  </si>
  <si>
    <t>Insurance</t>
  </si>
  <si>
    <t>MBE/DBE Goals?</t>
  </si>
  <si>
    <t>Engineer’s Estimate/BB</t>
  </si>
  <si>
    <t>Any Addendum?</t>
  </si>
  <si>
    <t>Include with Proposal:</t>
  </si>
  <si>
    <t>Spec Review</t>
  </si>
  <si>
    <t>Mobilization</t>
  </si>
  <si>
    <t>Disposal?</t>
  </si>
  <si>
    <t>Traffic Control?</t>
  </si>
  <si>
    <t>Contract Specific Notes</t>
  </si>
  <si>
    <t>Material</t>
  </si>
  <si>
    <t>Access/TC</t>
  </si>
  <si>
    <t>Bypass</t>
  </si>
  <si>
    <t>Shot #</t>
  </si>
  <si>
    <t>Seg #</t>
  </si>
  <si>
    <t>Location</t>
  </si>
  <si>
    <t>Pipe Segment ID</t>
  </si>
  <si>
    <t>US MH #</t>
  </si>
  <si>
    <t>US MH Depth</t>
  </si>
  <si>
    <t>DS MH #</t>
  </si>
  <si>
    <t>DS MH Depth</t>
  </si>
  <si>
    <t>Dia. Plan</t>
  </si>
  <si>
    <t>mm</t>
  </si>
  <si>
    <t>Dia. Field</t>
  </si>
  <si>
    <t>Length Plan</t>
  </si>
  <si>
    <t>Length Field</t>
  </si>
  <si>
    <t>Laterals Plan</t>
  </si>
  <si>
    <t>Steam or Water</t>
  </si>
  <si>
    <t>Production (Days)</t>
  </si>
  <si>
    <t>Dry Tower</t>
  </si>
  <si>
    <t>Wet</t>
  </si>
  <si>
    <t>Dry Tail</t>
  </si>
  <si>
    <t>No T/C</t>
  </si>
  <si>
    <t>LC</t>
  </si>
  <si>
    <t>LC w/ Flgrs</t>
  </si>
  <si>
    <t>Multi-LC</t>
  </si>
  <si>
    <t>Esmt</t>
  </si>
  <si>
    <t>N/A</t>
  </si>
  <si>
    <t>2"</t>
  </si>
  <si>
    <t>4"</t>
  </si>
  <si>
    <t>SUB Bypass</t>
  </si>
  <si>
    <t>Spec'd Material:</t>
  </si>
  <si>
    <t>TYPE</t>
  </si>
  <si>
    <t>VF</t>
  </si>
  <si>
    <t>SF</t>
  </si>
  <si>
    <t>DIFFERENT PAY ITEMS</t>
  </si>
  <si>
    <t>MH</t>
  </si>
  <si>
    <t>ADDRESS</t>
  </si>
  <si>
    <t>RIM</t>
  </si>
  <si>
    <t>INVERT</t>
  </si>
  <si>
    <t>NOTES</t>
  </si>
  <si>
    <t>GRASS</t>
  </si>
  <si>
    <t>ASPHALT</t>
  </si>
  <si>
    <t>WALL</t>
  </si>
  <si>
    <t>MH Depth</t>
  </si>
  <si>
    <t>TOTAL</t>
  </si>
  <si>
    <t>COUNT</t>
  </si>
  <si>
    <t>#'S</t>
  </si>
  <si>
    <t>ELEV.</t>
  </si>
  <si>
    <t>MATERIAL</t>
  </si>
  <si>
    <t>DIA FT</t>
  </si>
  <si>
    <t>DIA INCHES</t>
  </si>
  <si>
    <t>FT</t>
  </si>
  <si>
    <t>INCHES</t>
  </si>
  <si>
    <t>DEPTH</t>
  </si>
  <si>
    <t>Sq.ft</t>
  </si>
  <si>
    <t>4' dia</t>
  </si>
  <si>
    <t>5' dia</t>
  </si>
  <si>
    <t>6' dia</t>
  </si>
  <si>
    <t>7' dia</t>
  </si>
  <si>
    <t>8' dia</t>
  </si>
  <si>
    <t>QTY</t>
  </si>
  <si>
    <t>Map Page #</t>
  </si>
  <si>
    <t>Cleaning</t>
  </si>
  <si>
    <t>CCTV</t>
  </si>
  <si>
    <t>Lining</t>
  </si>
  <si>
    <t>Coatings</t>
  </si>
  <si>
    <t>Cleaning Method</t>
  </si>
  <si>
    <t>Cleaning Passes</t>
  </si>
  <si>
    <t>Notifications?</t>
  </si>
  <si>
    <t>NASSCO</t>
  </si>
  <si>
    <t>CCTV Submittal Format</t>
  </si>
  <si>
    <t>Curing Method</t>
  </si>
  <si>
    <t>Cure Water</t>
  </si>
  <si>
    <t>Warranty</t>
  </si>
  <si>
    <t>Contractor Qualifications</t>
  </si>
  <si>
    <t>Wet-Out Facility</t>
  </si>
  <si>
    <t>End Seals</t>
  </si>
  <si>
    <t>Mudding the Ends</t>
  </si>
  <si>
    <t>Conditions Above Pipes/Overhead</t>
  </si>
  <si>
    <t>Pre-Liner</t>
  </si>
  <si>
    <t>Pipe Information</t>
  </si>
  <si>
    <t>Resin Type</t>
  </si>
  <si>
    <t>Testing</t>
  </si>
  <si>
    <t>Engineered Design Stamp Calculations</t>
  </si>
  <si>
    <t>Air Testing</t>
  </si>
  <si>
    <t>MH Information</t>
  </si>
  <si>
    <t>Product Type</t>
  </si>
  <si>
    <t>Products</t>
  </si>
  <si>
    <t>Thickness</t>
  </si>
  <si>
    <t>Compressive Strength</t>
  </si>
  <si>
    <t>Bond Strength</t>
  </si>
  <si>
    <t>Shrinkage</t>
  </si>
  <si>
    <t>Grout</t>
  </si>
  <si>
    <t>Measurement &amp; Payment Section</t>
  </si>
  <si>
    <t>External Coating of Manhole?</t>
  </si>
  <si>
    <t>NACE</t>
  </si>
  <si>
    <t>Substitution Requirements</t>
  </si>
  <si>
    <t>Corrugations</t>
  </si>
  <si>
    <t>Standard Contract Items</t>
  </si>
  <si>
    <t>Extra Costs to Include?</t>
  </si>
  <si>
    <t>Working Hours</t>
  </si>
  <si>
    <t>Subcontracting</t>
  </si>
  <si>
    <t>Funding</t>
  </si>
  <si>
    <t>Certified Payroll</t>
  </si>
  <si>
    <t>Retainage</t>
  </si>
  <si>
    <t>Measurement &amp; Payment Review</t>
  </si>
  <si>
    <t>Materials</t>
  </si>
  <si>
    <t>Safety</t>
  </si>
  <si>
    <t>Qualifications</t>
  </si>
  <si>
    <t>Site Conditions Contract Items</t>
  </si>
  <si>
    <t>Site Access</t>
  </si>
  <si>
    <t>Site Restoration</t>
  </si>
  <si>
    <t>Bypass &amp; Flow?</t>
  </si>
  <si>
    <t>Hydrant Meter &amp; Water?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</si>
</sst>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7"/>
      <color rgb="FF17191B"/>
      <name val="Segoe UI"/>
      <family val="2"/>
    </font>
    <font>
      <u/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sz val="12"/>
      <color indexed="8"/>
      <name val="Tahoma"/>
      <family val="2"/>
    </font>
    <font>
      <b/>
      <sz val="12"/>
      <color indexed="8"/>
      <name val="Tahoma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156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3" xfId="0" quotePrefix="1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quotePrefix="1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6" fontId="3" fillId="0" borderId="2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9" fillId="0" borderId="0" xfId="0" applyNumberFormat="1" applyFont="1"/>
    <xf numFmtId="0" fontId="8" fillId="0" borderId="0" xfId="0" applyFont="1"/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2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left"/>
    </xf>
    <xf numFmtId="0" fontId="7" fillId="3" borderId="2" xfId="0" applyFont="1" applyFill="1" applyBorder="1" applyAlignment="1">
      <alignment horizontal="center"/>
    </xf>
    <xf numFmtId="2" fontId="9" fillId="0" borderId="2" xfId="0" applyNumberFormat="1" applyFont="1" applyBorder="1" applyAlignment="1">
      <alignment horizontal="left"/>
    </xf>
    <xf numFmtId="2" fontId="7" fillId="10" borderId="14" xfId="0" applyNumberFormat="1" applyFont="1" applyFill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9" fillId="10" borderId="3" xfId="0" applyFont="1" applyFill="1" applyBorder="1" applyAlignment="1">
      <alignment horizontal="center"/>
    </xf>
    <xf numFmtId="49" fontId="9" fillId="10" borderId="3" xfId="0" applyNumberFormat="1" applyFont="1" applyFill="1" applyBorder="1"/>
    <xf numFmtId="0" fontId="7" fillId="10" borderId="3" xfId="0" applyFont="1" applyFill="1" applyBorder="1" applyAlignment="1">
      <alignment horizontal="center"/>
    </xf>
    <xf numFmtId="0" fontId="7" fillId="10" borderId="0" xfId="0" applyFont="1" applyFill="1" applyAlignment="1">
      <alignment horizontal="center"/>
    </xf>
    <xf numFmtId="0" fontId="8" fillId="10" borderId="1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7" xfId="0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11" borderId="9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2" fontId="13" fillId="3" borderId="3" xfId="0" applyNumberFormat="1" applyFont="1" applyFill="1" applyBorder="1" applyAlignment="1">
      <alignment horizontal="center" vertical="center"/>
    </xf>
    <xf numFmtId="2" fontId="0" fillId="12" borderId="3" xfId="0" applyNumberFormat="1" applyFill="1" applyBorder="1" applyAlignment="1">
      <alignment horizont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11" borderId="23" xfId="0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13" borderId="30" xfId="0" applyFont="1" applyFill="1" applyBorder="1" applyAlignment="1">
      <alignment horizontal="center" vertical="center"/>
    </xf>
    <xf numFmtId="0" fontId="13" fillId="14" borderId="30" xfId="0" applyFont="1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13" fillId="3" borderId="27" xfId="0" applyFont="1" applyFill="1" applyBorder="1" applyAlignment="1">
      <alignment horizontal="center" vertical="center"/>
    </xf>
    <xf numFmtId="0" fontId="13" fillId="11" borderId="27" xfId="0" applyFont="1" applyFill="1" applyBorder="1" applyAlignment="1">
      <alignment horizontal="center" vertical="center"/>
    </xf>
    <xf numFmtId="0" fontId="13" fillId="3" borderId="28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2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2" fontId="1" fillId="12" borderId="0" xfId="0" applyNumberFormat="1" applyFont="1" applyFill="1" applyAlignment="1">
      <alignment horizontal="center"/>
    </xf>
    <xf numFmtId="2" fontId="0" fillId="0" borderId="18" xfId="0" applyNumberFormat="1" applyBorder="1"/>
    <xf numFmtId="0" fontId="0" fillId="0" borderId="32" xfId="0" applyBorder="1" applyAlignment="1">
      <alignment horizontal="center"/>
    </xf>
    <xf numFmtId="164" fontId="0" fillId="0" borderId="19" xfId="1" applyNumberFormat="1" applyFont="1" applyBorder="1" applyAlignment="1">
      <alignment horizontal="center"/>
    </xf>
    <xf numFmtId="2" fontId="0" fillId="0" borderId="33" xfId="0" applyNumberFormat="1" applyBorder="1"/>
    <xf numFmtId="164" fontId="0" fillId="0" borderId="16" xfId="1" applyNumberFormat="1" applyFont="1" applyBorder="1" applyAlignment="1">
      <alignment horizontal="center"/>
    </xf>
    <xf numFmtId="2" fontId="0" fillId="0" borderId="14" xfId="0" applyNumberFormat="1" applyBorder="1"/>
    <xf numFmtId="0" fontId="0" fillId="0" borderId="17" xfId="0" applyBorder="1" applyAlignment="1">
      <alignment horizontal="center"/>
    </xf>
    <xf numFmtId="164" fontId="0" fillId="0" borderId="21" xfId="1" applyNumberFormat="1" applyFont="1" applyBorder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/>
    </xf>
    <xf numFmtId="0" fontId="0" fillId="15" borderId="2" xfId="0" applyFill="1" applyBorder="1" applyAlignment="1">
      <alignment horizontal="center" vertical="center" wrapText="1"/>
    </xf>
    <xf numFmtId="2" fontId="0" fillId="0" borderId="0" xfId="0" applyNumberFormat="1"/>
    <xf numFmtId="2" fontId="1" fillId="0" borderId="2" xfId="0" applyNumberFormat="1" applyFont="1" applyBorder="1" applyAlignment="1">
      <alignment horizontal="center"/>
    </xf>
    <xf numFmtId="0" fontId="1" fillId="11" borderId="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26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FDD0-9FD4-4B9F-90B8-0525A37710D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AE5B3-6399-4D15-BA23-F4D16E07F4AE}">
  <dimension ref="A1:D20"/>
  <sheetViews>
    <sheetView workbookViewId="0">
      <selection activeCell="E15" sqref="E15"/>
    </sheetView>
  </sheetViews>
  <sheetFormatPr defaultRowHeight="14.5" x14ac:dyDescent="0.35"/>
  <cols>
    <col min="1" max="1" width="16.81640625" customWidth="1"/>
    <col min="2" max="2" width="30.1796875" bestFit="1" customWidth="1"/>
    <col min="3" max="3" width="16.54296875" customWidth="1"/>
    <col min="4" max="4" width="10.1796875" customWidth="1"/>
    <col min="5" max="5" width="16" bestFit="1" customWidth="1"/>
    <col min="6" max="6" width="10.7265625" bestFit="1" customWidth="1"/>
    <col min="7" max="7" width="18.7265625" bestFit="1" customWidth="1"/>
    <col min="8" max="8" width="11.453125" bestFit="1" customWidth="1"/>
    <col min="9" max="9" width="12.26953125" bestFit="1" customWidth="1"/>
    <col min="10" max="10" width="13.54296875" bestFit="1" customWidth="1"/>
  </cols>
  <sheetData>
    <row r="1" spans="1:4" ht="30" customHeight="1" thickBot="1" x14ac:dyDescent="0.4">
      <c r="A1" s="4" t="s">
        <v>0</v>
      </c>
      <c r="B1" s="3" t="s">
        <v>1</v>
      </c>
      <c r="C1" s="4" t="s">
        <v>2</v>
      </c>
    </row>
    <row r="2" spans="1:4" x14ac:dyDescent="0.35">
      <c r="A2" s="13"/>
      <c r="B2" s="15" t="s">
        <v>14</v>
      </c>
      <c r="C2" s="13"/>
    </row>
    <row r="3" spans="1:4" x14ac:dyDescent="0.35">
      <c r="A3" s="13"/>
      <c r="B3" s="12" t="s">
        <v>15</v>
      </c>
      <c r="C3" s="14"/>
    </row>
    <row r="4" spans="1:4" x14ac:dyDescent="0.35">
      <c r="A4" s="14"/>
      <c r="B4" s="12" t="s">
        <v>21</v>
      </c>
      <c r="C4" s="14"/>
    </row>
    <row r="5" spans="1:4" x14ac:dyDescent="0.35">
      <c r="A5" s="16"/>
      <c r="B5" s="12" t="s">
        <v>19</v>
      </c>
      <c r="C5" s="19"/>
      <c r="D5" t="s">
        <v>4</v>
      </c>
    </row>
    <row r="6" spans="1:4" x14ac:dyDescent="0.35">
      <c r="A6" s="14"/>
      <c r="B6" s="12" t="s">
        <v>22</v>
      </c>
      <c r="C6" s="14"/>
    </row>
    <row r="7" spans="1:4" x14ac:dyDescent="0.35">
      <c r="A7" s="16"/>
      <c r="B7" s="12" t="s">
        <v>16</v>
      </c>
      <c r="C7" s="12"/>
    </row>
    <row r="8" spans="1:4" x14ac:dyDescent="0.35">
      <c r="A8" s="14"/>
      <c r="B8" s="12" t="s">
        <v>20</v>
      </c>
      <c r="C8" s="12"/>
      <c r="D8" t="s">
        <v>4</v>
      </c>
    </row>
    <row r="9" spans="1:4" x14ac:dyDescent="0.35">
      <c r="A9" s="14"/>
      <c r="B9" s="12" t="s">
        <v>17</v>
      </c>
      <c r="C9" s="14"/>
    </row>
    <row r="10" spans="1:4" x14ac:dyDescent="0.35">
      <c r="A10" s="12"/>
      <c r="B10" s="12" t="s">
        <v>18</v>
      </c>
      <c r="C10" s="12"/>
    </row>
    <row r="11" spans="1:4" x14ac:dyDescent="0.35">
      <c r="A11" s="12"/>
      <c r="B11" s="12"/>
      <c r="C11" s="12"/>
    </row>
    <row r="12" spans="1:4" x14ac:dyDescent="0.35">
      <c r="A12" s="12"/>
      <c r="B12" s="12"/>
      <c r="C12" s="12"/>
    </row>
    <row r="13" spans="1:4" x14ac:dyDescent="0.35">
      <c r="A13" s="12"/>
      <c r="B13" s="12"/>
      <c r="C13" s="12"/>
    </row>
    <row r="14" spans="1:4" x14ac:dyDescent="0.35">
      <c r="A14" s="12"/>
      <c r="B14" s="12"/>
      <c r="C14" s="12"/>
    </row>
    <row r="15" spans="1:4" x14ac:dyDescent="0.35">
      <c r="A15" s="12"/>
      <c r="B15" s="12"/>
      <c r="C15" s="12"/>
    </row>
    <row r="16" spans="1:4" x14ac:dyDescent="0.35">
      <c r="A16" s="12"/>
      <c r="B16" s="12"/>
      <c r="C16" s="12"/>
    </row>
    <row r="17" spans="1:3" x14ac:dyDescent="0.35">
      <c r="A17" s="12"/>
      <c r="B17" s="12"/>
      <c r="C17" s="12"/>
    </row>
    <row r="18" spans="1:3" x14ac:dyDescent="0.35">
      <c r="A18" s="12"/>
      <c r="B18" s="12"/>
      <c r="C18" s="12"/>
    </row>
    <row r="19" spans="1:3" x14ac:dyDescent="0.35">
      <c r="A19" s="12"/>
      <c r="B19" s="12"/>
      <c r="C19" s="12"/>
    </row>
    <row r="20" spans="1:3" x14ac:dyDescent="0.35">
      <c r="A20" s="12"/>
      <c r="B20" s="12"/>
      <c r="C2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DA45-F884-40AC-BA0B-3CC4C343FF68}">
  <dimension ref="A1:F144"/>
  <sheetViews>
    <sheetView tabSelected="1" zoomScale="80" zoomScaleNormal="80" workbookViewId="0">
      <pane ySplit="2" topLeftCell="A3" activePane="bottomLeft" state="frozen"/>
      <selection pane="bottomLeft" activeCell="B77" sqref="B77"/>
    </sheetView>
  </sheetViews>
  <sheetFormatPr defaultRowHeight="14.5" x14ac:dyDescent="0.35"/>
  <cols>
    <col min="1" max="1" width="20.54296875" style="28" customWidth="1"/>
    <col min="2" max="2" width="89.81640625" style="28" customWidth="1"/>
    <col min="3" max="3" width="37.26953125" style="28" customWidth="1"/>
    <col min="6" max="6" width="23" customWidth="1"/>
  </cols>
  <sheetData>
    <row r="1" spans="1:6" ht="15" x14ac:dyDescent="0.35">
      <c r="A1" s="71" t="s">
        <v>23</v>
      </c>
      <c r="B1" s="71"/>
      <c r="C1" s="71"/>
    </row>
    <row r="2" spans="1:6" ht="15" x14ac:dyDescent="0.35">
      <c r="A2" s="23" t="s">
        <v>24</v>
      </c>
      <c r="B2" s="23" t="s">
        <v>25</v>
      </c>
      <c r="C2" s="24" t="s">
        <v>26</v>
      </c>
    </row>
    <row r="3" spans="1:6" ht="15.5" x14ac:dyDescent="0.35">
      <c r="A3" s="25" t="s">
        <v>27</v>
      </c>
      <c r="B3" s="26"/>
      <c r="C3" s="26"/>
    </row>
    <row r="4" spans="1:6" ht="15.5" x14ac:dyDescent="0.35">
      <c r="A4" s="25" t="s">
        <v>28</v>
      </c>
      <c r="B4" s="26"/>
      <c r="C4" s="26"/>
    </row>
    <row r="5" spans="1:6" ht="15.5" x14ac:dyDescent="0.35">
      <c r="A5" s="25" t="s">
        <v>29</v>
      </c>
      <c r="B5" s="26"/>
      <c r="C5" s="26"/>
    </row>
    <row r="6" spans="1:6" ht="15.5" x14ac:dyDescent="0.35">
      <c r="A6" s="25" t="s">
        <v>30</v>
      </c>
      <c r="B6" s="26"/>
      <c r="C6" s="26"/>
    </row>
    <row r="7" spans="1:6" ht="15.5" x14ac:dyDescent="0.35">
      <c r="A7" s="25" t="s">
        <v>31</v>
      </c>
      <c r="B7" s="26"/>
      <c r="C7" s="26"/>
    </row>
    <row r="8" spans="1:6" ht="15.5" x14ac:dyDescent="0.35">
      <c r="A8" s="25" t="s">
        <v>32</v>
      </c>
      <c r="B8" s="26"/>
      <c r="C8" s="26"/>
      <c r="D8" s="27"/>
    </row>
    <row r="9" spans="1:6" ht="30" x14ac:dyDescent="0.35">
      <c r="A9" s="25" t="s">
        <v>33</v>
      </c>
      <c r="B9" s="26"/>
      <c r="C9" s="26"/>
    </row>
    <row r="10" spans="1:6" ht="15.5" x14ac:dyDescent="0.35">
      <c r="A10" s="25" t="s">
        <v>34</v>
      </c>
      <c r="B10" s="26"/>
      <c r="C10" s="26"/>
    </row>
    <row r="11" spans="1:6" ht="15.5" x14ac:dyDescent="0.35">
      <c r="A11" s="25" t="s">
        <v>35</v>
      </c>
      <c r="B11" s="26"/>
      <c r="C11" s="26"/>
    </row>
    <row r="12" spans="1:6" ht="30" x14ac:dyDescent="0.35">
      <c r="A12" s="25" t="s">
        <v>36</v>
      </c>
      <c r="B12" s="26"/>
      <c r="C12" s="26"/>
    </row>
    <row r="13" spans="1:6" ht="15.5" x14ac:dyDescent="0.35">
      <c r="A13" s="25" t="s">
        <v>37</v>
      </c>
      <c r="B13" s="26"/>
      <c r="C13" s="26"/>
    </row>
    <row r="14" spans="1:6" ht="15.5" x14ac:dyDescent="0.35">
      <c r="A14" s="25" t="s">
        <v>38</v>
      </c>
      <c r="B14" s="26"/>
      <c r="C14" s="26"/>
    </row>
    <row r="15" spans="1:6" ht="15.5" x14ac:dyDescent="0.35">
      <c r="A15" s="25" t="s">
        <v>39</v>
      </c>
      <c r="B15" s="26"/>
      <c r="C15" s="26"/>
    </row>
    <row r="16" spans="1:6" ht="45" x14ac:dyDescent="0.35">
      <c r="A16" s="25" t="s">
        <v>40</v>
      </c>
      <c r="B16" s="26"/>
      <c r="C16" s="26"/>
      <c r="F16" s="28"/>
    </row>
    <row r="17" spans="1:3" ht="15.5" x14ac:dyDescent="0.35">
      <c r="A17" s="25" t="s">
        <v>41</v>
      </c>
      <c r="B17" s="29"/>
      <c r="C17" s="26"/>
    </row>
    <row r="18" spans="1:3" ht="15.5" x14ac:dyDescent="0.35">
      <c r="A18" s="30"/>
      <c r="B18" s="26"/>
      <c r="C18" s="26"/>
    </row>
    <row r="19" spans="1:3" ht="93" customHeight="1" x14ac:dyDescent="0.35">
      <c r="A19" s="25" t="s">
        <v>42</v>
      </c>
      <c r="B19" s="26"/>
      <c r="C19" s="26"/>
    </row>
    <row r="20" spans="1:3" ht="30" x14ac:dyDescent="0.35">
      <c r="A20" s="25" t="s">
        <v>55</v>
      </c>
      <c r="B20" s="26"/>
      <c r="C20" s="26"/>
    </row>
    <row r="21" spans="1:3" ht="15.5" x14ac:dyDescent="0.35">
      <c r="A21" s="30"/>
      <c r="B21" s="26"/>
      <c r="C21" s="26"/>
    </row>
    <row r="22" spans="1:3" ht="15.5" x14ac:dyDescent="0.35">
      <c r="A22" s="30"/>
      <c r="B22" s="26"/>
      <c r="C22" s="26"/>
    </row>
    <row r="23" spans="1:3" ht="15.5" x14ac:dyDescent="0.35">
      <c r="A23" s="30"/>
      <c r="B23" s="26"/>
      <c r="C23" s="26"/>
    </row>
    <row r="24" spans="1:3" ht="15.5" x14ac:dyDescent="0.35">
      <c r="A24" s="30"/>
      <c r="B24" s="26"/>
      <c r="C24" s="26"/>
    </row>
    <row r="25" spans="1:3" ht="15.5" x14ac:dyDescent="0.35">
      <c r="A25" s="30"/>
      <c r="B25" s="26"/>
      <c r="C25" s="26"/>
    </row>
    <row r="26" spans="1:3" ht="15.5" x14ac:dyDescent="0.35">
      <c r="A26" s="30"/>
      <c r="B26" s="26"/>
      <c r="C26" s="26"/>
    </row>
    <row r="27" spans="1:3" ht="15.5" x14ac:dyDescent="0.35">
      <c r="A27" s="33"/>
      <c r="B27" s="26"/>
      <c r="C27" s="26"/>
    </row>
    <row r="28" spans="1:3" ht="15.5" x14ac:dyDescent="0.35">
      <c r="A28" s="33"/>
      <c r="B28" s="26"/>
      <c r="C28" s="26"/>
    </row>
    <row r="29" spans="1:3" ht="15.5" x14ac:dyDescent="0.35">
      <c r="A29" s="33"/>
      <c r="B29" s="26"/>
      <c r="C29" s="26"/>
    </row>
    <row r="30" spans="1:3" ht="15.5" x14ac:dyDescent="0.35">
      <c r="A30" s="33"/>
      <c r="B30" s="26"/>
      <c r="C30" s="26"/>
    </row>
    <row r="31" spans="1:3" ht="15.5" x14ac:dyDescent="0.35">
      <c r="A31" s="33"/>
      <c r="B31" s="26"/>
      <c r="C31" s="26"/>
    </row>
    <row r="32" spans="1:3" ht="15.5" x14ac:dyDescent="0.35">
      <c r="A32" s="25" t="s">
        <v>54</v>
      </c>
      <c r="B32" s="26"/>
      <c r="C32" s="26"/>
    </row>
    <row r="33" spans="1:3" s="153" customFormat="1" ht="15.5" x14ac:dyDescent="0.35">
      <c r="A33" s="154"/>
      <c r="B33" s="155"/>
      <c r="C33" s="155"/>
    </row>
    <row r="34" spans="1:3" s="153" customFormat="1" ht="15.5" x14ac:dyDescent="0.35">
      <c r="A34" s="154"/>
      <c r="B34" s="155"/>
      <c r="C34" s="155"/>
    </row>
    <row r="35" spans="1:3" s="153" customFormat="1" ht="15.5" x14ac:dyDescent="0.35">
      <c r="A35" s="154"/>
      <c r="B35" s="155"/>
      <c r="C35" s="155"/>
    </row>
    <row r="36" spans="1:3" ht="15" x14ac:dyDescent="0.35">
      <c r="A36" s="150" t="s">
        <v>160</v>
      </c>
      <c r="B36" s="151"/>
      <c r="C36" s="152"/>
    </row>
    <row r="37" spans="1:3" ht="15.5" x14ac:dyDescent="0.35">
      <c r="A37" s="25" t="s">
        <v>43</v>
      </c>
      <c r="B37" s="26"/>
      <c r="C37" s="31"/>
    </row>
    <row r="38" spans="1:3" ht="15.5" x14ac:dyDescent="0.35">
      <c r="A38" s="25" t="s">
        <v>44</v>
      </c>
      <c r="B38" s="26"/>
      <c r="C38" s="26"/>
    </row>
    <row r="39" spans="1:3" ht="15.5" x14ac:dyDescent="0.35">
      <c r="A39" s="25" t="s">
        <v>45</v>
      </c>
      <c r="B39" s="26"/>
      <c r="C39" s="26"/>
    </row>
    <row r="40" spans="1:3" ht="15.5" x14ac:dyDescent="0.35">
      <c r="A40" s="25" t="s">
        <v>46</v>
      </c>
      <c r="B40" s="26"/>
      <c r="C40" s="26"/>
    </row>
    <row r="41" spans="1:3" ht="15.5" x14ac:dyDescent="0.35">
      <c r="A41" s="25" t="s">
        <v>166</v>
      </c>
      <c r="B41" s="26"/>
      <c r="C41" s="26"/>
    </row>
    <row r="42" spans="1:3" ht="15.5" x14ac:dyDescent="0.35">
      <c r="A42" s="25" t="s">
        <v>47</v>
      </c>
      <c r="B42" s="26"/>
      <c r="C42" s="26"/>
    </row>
    <row r="43" spans="1:3" ht="15.5" x14ac:dyDescent="0.35">
      <c r="A43" s="25" t="s">
        <v>48</v>
      </c>
      <c r="B43" s="32"/>
      <c r="C43" s="26"/>
    </row>
    <row r="44" spans="1:3" ht="15.5" x14ac:dyDescent="0.35">
      <c r="A44" s="25" t="s">
        <v>49</v>
      </c>
      <c r="B44" s="32"/>
      <c r="C44" s="26"/>
    </row>
    <row r="45" spans="1:3" ht="15.5" x14ac:dyDescent="0.35">
      <c r="A45" s="25" t="s">
        <v>50</v>
      </c>
      <c r="B45" s="26"/>
      <c r="C45" s="26"/>
    </row>
    <row r="46" spans="1:3" ht="15.5" x14ac:dyDescent="0.35">
      <c r="A46" s="25" t="s">
        <v>51</v>
      </c>
      <c r="B46" s="26"/>
      <c r="C46" s="31"/>
    </row>
    <row r="47" spans="1:3" ht="15.5" x14ac:dyDescent="0.35">
      <c r="A47" s="25" t="s">
        <v>52</v>
      </c>
      <c r="B47" s="26"/>
      <c r="C47" s="26"/>
    </row>
    <row r="48" spans="1:3" ht="30" x14ac:dyDescent="0.35">
      <c r="A48" s="25" t="s">
        <v>53</v>
      </c>
      <c r="B48" s="32"/>
      <c r="C48" s="26"/>
    </row>
    <row r="49" spans="1:3" ht="15.5" x14ac:dyDescent="0.35">
      <c r="A49" s="25" t="s">
        <v>164</v>
      </c>
      <c r="B49" s="26"/>
      <c r="C49" s="26"/>
    </row>
    <row r="50" spans="1:3" ht="15.5" x14ac:dyDescent="0.35">
      <c r="A50" s="25" t="s">
        <v>165</v>
      </c>
      <c r="B50" s="26"/>
      <c r="C50" s="26"/>
    </row>
    <row r="51" spans="1:3" ht="15.5" x14ac:dyDescent="0.35">
      <c r="A51" s="25" t="s">
        <v>162</v>
      </c>
      <c r="B51" s="26"/>
      <c r="C51" s="26"/>
    </row>
    <row r="52" spans="1:3" ht="15.5" x14ac:dyDescent="0.35">
      <c r="A52" s="25" t="s">
        <v>163</v>
      </c>
      <c r="B52" s="26"/>
      <c r="C52" s="26"/>
    </row>
    <row r="53" spans="1:3" ht="15.5" x14ac:dyDescent="0.35">
      <c r="A53" s="25" t="s">
        <v>170</v>
      </c>
      <c r="B53" s="26"/>
      <c r="C53" s="26"/>
    </row>
    <row r="54" spans="1:3" ht="15.5" x14ac:dyDescent="0.35">
      <c r="A54" s="25" t="s">
        <v>168</v>
      </c>
      <c r="B54" s="26"/>
      <c r="C54" s="26"/>
    </row>
    <row r="55" spans="1:3" ht="15.5" x14ac:dyDescent="0.35">
      <c r="A55" s="25" t="s">
        <v>169</v>
      </c>
      <c r="B55" s="26"/>
      <c r="C55" s="26"/>
    </row>
    <row r="56" spans="1:3" ht="15" x14ac:dyDescent="0.35">
      <c r="A56" s="150" t="s">
        <v>171</v>
      </c>
      <c r="B56" s="151"/>
      <c r="C56" s="152"/>
    </row>
    <row r="57" spans="1:3" ht="15.5" x14ac:dyDescent="0.35">
      <c r="A57" s="25" t="s">
        <v>57</v>
      </c>
      <c r="B57" s="26"/>
      <c r="C57" s="26"/>
    </row>
    <row r="58" spans="1:3" ht="15.5" x14ac:dyDescent="0.35">
      <c r="A58" s="25" t="s">
        <v>172</v>
      </c>
      <c r="B58" s="26"/>
      <c r="C58" s="26"/>
    </row>
    <row r="59" spans="1:3" ht="15.5" x14ac:dyDescent="0.35">
      <c r="A59" s="25" t="s">
        <v>173</v>
      </c>
      <c r="B59" s="26"/>
      <c r="C59" s="26"/>
    </row>
    <row r="60" spans="1:3" ht="15.5" x14ac:dyDescent="0.35">
      <c r="A60" s="25" t="s">
        <v>58</v>
      </c>
      <c r="B60" s="26"/>
      <c r="C60" s="26"/>
    </row>
    <row r="61" spans="1:3" ht="15.5" x14ac:dyDescent="0.35">
      <c r="A61" s="25" t="s">
        <v>59</v>
      </c>
      <c r="B61" s="26"/>
      <c r="C61" s="26"/>
    </row>
    <row r="62" spans="1:3" ht="30" x14ac:dyDescent="0.35">
      <c r="A62" s="25" t="s">
        <v>175</v>
      </c>
      <c r="B62" s="26"/>
      <c r="C62" s="26"/>
    </row>
    <row r="63" spans="1:3" ht="15.5" x14ac:dyDescent="0.35">
      <c r="A63" s="25" t="s">
        <v>174</v>
      </c>
      <c r="B63" s="26"/>
      <c r="C63" s="26"/>
    </row>
    <row r="64" spans="1:3" ht="30" x14ac:dyDescent="0.35">
      <c r="A64" s="25" t="s">
        <v>161</v>
      </c>
      <c r="B64" s="26"/>
      <c r="C64" s="26"/>
    </row>
    <row r="65" spans="1:3" ht="15.5" x14ac:dyDescent="0.35">
      <c r="A65" s="30"/>
      <c r="B65" s="26"/>
      <c r="C65" s="26"/>
    </row>
    <row r="66" spans="1:3" ht="15.5" x14ac:dyDescent="0.35">
      <c r="A66" s="30"/>
      <c r="B66" s="26"/>
      <c r="C66" s="26"/>
    </row>
    <row r="67" spans="1:3" ht="15.5" x14ac:dyDescent="0.35">
      <c r="A67" s="30"/>
      <c r="B67" s="26"/>
      <c r="C67" s="26"/>
    </row>
    <row r="68" spans="1:3" ht="15.5" x14ac:dyDescent="0.35">
      <c r="A68" s="30"/>
      <c r="B68" s="26"/>
      <c r="C68" s="26"/>
    </row>
    <row r="69" spans="1:3" ht="15.5" x14ac:dyDescent="0.35">
      <c r="A69" s="30"/>
      <c r="B69" s="26"/>
      <c r="C69" s="26"/>
    </row>
    <row r="70" spans="1:3" ht="30" x14ac:dyDescent="0.35">
      <c r="A70" s="25" t="s">
        <v>167</v>
      </c>
      <c r="B70" s="26"/>
      <c r="C70" s="26"/>
    </row>
    <row r="71" spans="1:3" ht="15.5" x14ac:dyDescent="0.35">
      <c r="A71" s="30"/>
      <c r="B71" s="26"/>
      <c r="C71" s="26"/>
    </row>
    <row r="72" spans="1:3" ht="15.5" x14ac:dyDescent="0.35">
      <c r="A72" s="30"/>
      <c r="B72" s="26"/>
      <c r="C72" s="26"/>
    </row>
    <row r="73" spans="1:3" ht="15.5" x14ac:dyDescent="0.35">
      <c r="A73" s="30"/>
      <c r="B73" s="26"/>
      <c r="C73" s="26"/>
    </row>
    <row r="74" spans="1:3" ht="15.5" x14ac:dyDescent="0.35">
      <c r="A74" s="30"/>
      <c r="B74" s="26"/>
      <c r="C74" s="26"/>
    </row>
    <row r="75" spans="1:3" ht="15.5" x14ac:dyDescent="0.35">
      <c r="A75" s="30"/>
      <c r="B75" s="26"/>
      <c r="C75" s="26"/>
    </row>
    <row r="76" spans="1:3" ht="15.5" x14ac:dyDescent="0.35">
      <c r="A76" s="30"/>
      <c r="B76" s="26"/>
      <c r="C76" s="26"/>
    </row>
    <row r="77" spans="1:3" ht="30" x14ac:dyDescent="0.35">
      <c r="A77" s="25" t="s">
        <v>60</v>
      </c>
      <c r="B77" s="26"/>
      <c r="C77" s="26"/>
    </row>
    <row r="78" spans="1:3" ht="15.5" x14ac:dyDescent="0.35">
      <c r="A78" s="30"/>
      <c r="B78" s="26"/>
      <c r="C78" s="26"/>
    </row>
    <row r="79" spans="1:3" ht="15.65" customHeight="1" x14ac:dyDescent="0.35">
      <c r="A79" s="30"/>
      <c r="B79" s="26"/>
      <c r="C79" s="26"/>
    </row>
    <row r="80" spans="1:3" ht="15.5" x14ac:dyDescent="0.35">
      <c r="A80" s="30"/>
      <c r="B80" s="26"/>
      <c r="C80" s="26"/>
    </row>
    <row r="81" spans="1:3" ht="15.5" x14ac:dyDescent="0.35">
      <c r="A81" s="30"/>
      <c r="B81" s="26"/>
      <c r="C81" s="26"/>
    </row>
    <row r="82" spans="1:3" ht="15.5" x14ac:dyDescent="0.35">
      <c r="A82" s="30"/>
      <c r="B82" s="26"/>
      <c r="C82" s="26"/>
    </row>
    <row r="83" spans="1:3" ht="15.5" x14ac:dyDescent="0.35">
      <c r="A83" s="30"/>
      <c r="B83" s="26"/>
      <c r="C83" s="26"/>
    </row>
    <row r="84" spans="1:3" ht="15.5" x14ac:dyDescent="0.35">
      <c r="A84" s="30"/>
      <c r="B84" s="26"/>
      <c r="C84" s="26"/>
    </row>
    <row r="85" spans="1:3" ht="15.5" x14ac:dyDescent="0.35">
      <c r="A85" s="30"/>
      <c r="B85" s="26"/>
      <c r="C85" s="26"/>
    </row>
    <row r="86" spans="1:3" ht="15.5" x14ac:dyDescent="0.35">
      <c r="A86" s="30"/>
      <c r="B86" s="34"/>
      <c r="C86" s="26"/>
    </row>
    <row r="87" spans="1:3" ht="15.5" x14ac:dyDescent="0.35">
      <c r="A87" s="30"/>
      <c r="B87" s="34"/>
      <c r="C87" s="26"/>
    </row>
    <row r="88" spans="1:3" ht="15.5" x14ac:dyDescent="0.35">
      <c r="A88" s="30"/>
      <c r="B88" s="34"/>
      <c r="C88" s="26"/>
    </row>
    <row r="89" spans="1:3" ht="15.5" x14ac:dyDescent="0.35">
      <c r="A89" s="30"/>
      <c r="B89" s="34"/>
      <c r="C89" s="26"/>
    </row>
    <row r="90" spans="1:3" ht="15.5" x14ac:dyDescent="0.35">
      <c r="A90" s="30"/>
      <c r="B90" s="34"/>
      <c r="C90" s="26"/>
    </row>
    <row r="91" spans="1:3" ht="15.5" x14ac:dyDescent="0.35">
      <c r="A91" s="25" t="s">
        <v>56</v>
      </c>
      <c r="B91" s="26"/>
      <c r="C91" s="26"/>
    </row>
    <row r="92" spans="1:3" ht="15.5" x14ac:dyDescent="0.35">
      <c r="A92" s="149" t="s">
        <v>124</v>
      </c>
      <c r="B92" s="26"/>
      <c r="C92" s="26"/>
    </row>
    <row r="93" spans="1:3" ht="15.5" x14ac:dyDescent="0.35">
      <c r="A93" s="148" t="s">
        <v>128</v>
      </c>
      <c r="B93" s="26"/>
      <c r="C93" s="26"/>
    </row>
    <row r="94" spans="1:3" ht="15.5" x14ac:dyDescent="0.35">
      <c r="A94" s="148" t="s">
        <v>129</v>
      </c>
      <c r="B94" s="26"/>
      <c r="C94" s="26"/>
    </row>
    <row r="95" spans="1:3" ht="15.5" x14ac:dyDescent="0.35">
      <c r="A95" s="148" t="s">
        <v>130</v>
      </c>
      <c r="B95" s="26"/>
      <c r="C95" s="26"/>
    </row>
    <row r="96" spans="1:3" ht="15.5" x14ac:dyDescent="0.35">
      <c r="A96" s="33"/>
      <c r="B96" s="26"/>
      <c r="C96" s="26"/>
    </row>
    <row r="97" spans="1:3" ht="15.5" x14ac:dyDescent="0.35">
      <c r="A97" s="33"/>
      <c r="B97" s="26"/>
      <c r="C97" s="26"/>
    </row>
    <row r="98" spans="1:3" ht="15.5" x14ac:dyDescent="0.35">
      <c r="A98" s="149" t="s">
        <v>125</v>
      </c>
      <c r="B98" s="26"/>
      <c r="C98" s="26"/>
    </row>
    <row r="99" spans="1:3" ht="15.5" x14ac:dyDescent="0.35">
      <c r="A99" s="148" t="s">
        <v>131</v>
      </c>
      <c r="B99" s="26"/>
      <c r="C99" s="26"/>
    </row>
    <row r="100" spans="1:3" ht="31" x14ac:dyDescent="0.35">
      <c r="A100" s="148" t="s">
        <v>132</v>
      </c>
      <c r="B100" s="26"/>
      <c r="C100" s="26"/>
    </row>
    <row r="101" spans="1:3" ht="15.5" x14ac:dyDescent="0.35">
      <c r="A101" s="33"/>
      <c r="B101" s="26"/>
      <c r="C101" s="26"/>
    </row>
    <row r="102" spans="1:3" ht="15.5" x14ac:dyDescent="0.35">
      <c r="A102" s="33"/>
      <c r="B102" s="26"/>
      <c r="C102" s="26"/>
    </row>
    <row r="103" spans="1:3" ht="15.5" x14ac:dyDescent="0.35">
      <c r="A103" s="33"/>
      <c r="B103" s="26"/>
      <c r="C103" s="26"/>
    </row>
    <row r="104" spans="1:3" ht="15.5" x14ac:dyDescent="0.35">
      <c r="A104" s="149" t="s">
        <v>126</v>
      </c>
      <c r="B104" s="26"/>
      <c r="C104" s="26"/>
    </row>
    <row r="105" spans="1:3" ht="15.5" x14ac:dyDescent="0.35">
      <c r="A105" s="148" t="s">
        <v>133</v>
      </c>
      <c r="B105" s="26"/>
      <c r="C105" s="26"/>
    </row>
    <row r="106" spans="1:3" ht="15.5" x14ac:dyDescent="0.35">
      <c r="A106" s="148" t="s">
        <v>134</v>
      </c>
      <c r="B106" s="26"/>
      <c r="C106" s="26"/>
    </row>
    <row r="107" spans="1:3" ht="15.5" x14ac:dyDescent="0.35">
      <c r="A107" s="148" t="s">
        <v>135</v>
      </c>
      <c r="B107" s="26"/>
      <c r="C107" s="26"/>
    </row>
    <row r="108" spans="1:3" ht="15.5" x14ac:dyDescent="0.35">
      <c r="A108" s="148" t="s">
        <v>130</v>
      </c>
      <c r="B108" s="26"/>
      <c r="C108" s="26"/>
    </row>
    <row r="109" spans="1:3" ht="31" x14ac:dyDescent="0.35">
      <c r="A109" s="148" t="s">
        <v>136</v>
      </c>
      <c r="B109" s="26"/>
      <c r="C109" s="26"/>
    </row>
    <row r="110" spans="1:3" ht="15.5" x14ac:dyDescent="0.35">
      <c r="A110" s="148" t="s">
        <v>137</v>
      </c>
      <c r="B110" s="26"/>
      <c r="C110" s="26"/>
    </row>
    <row r="111" spans="1:3" ht="15.5" x14ac:dyDescent="0.35">
      <c r="A111" s="148" t="s">
        <v>138</v>
      </c>
      <c r="B111" s="26"/>
      <c r="C111" s="26"/>
    </row>
    <row r="112" spans="1:3" ht="15.5" x14ac:dyDescent="0.35">
      <c r="A112" s="148" t="s">
        <v>139</v>
      </c>
      <c r="B112" s="26"/>
      <c r="C112" s="26"/>
    </row>
    <row r="113" spans="1:3" ht="31" x14ac:dyDescent="0.35">
      <c r="A113" s="148" t="s">
        <v>140</v>
      </c>
      <c r="B113" s="26"/>
      <c r="C113" s="26"/>
    </row>
    <row r="114" spans="1:3" ht="15.5" x14ac:dyDescent="0.35">
      <c r="A114" s="148" t="s">
        <v>141</v>
      </c>
      <c r="B114" s="26"/>
      <c r="C114" s="26"/>
    </row>
    <row r="115" spans="1:3" ht="15.5" x14ac:dyDescent="0.35">
      <c r="A115" s="148" t="s">
        <v>142</v>
      </c>
      <c r="B115" s="26"/>
      <c r="C115" s="26"/>
    </row>
    <row r="116" spans="1:3" ht="15.5" x14ac:dyDescent="0.35">
      <c r="A116" s="148" t="s">
        <v>143</v>
      </c>
      <c r="B116" s="26"/>
      <c r="C116" s="26"/>
    </row>
    <row r="117" spans="1:3" ht="15.5" x14ac:dyDescent="0.35">
      <c r="A117" s="148" t="s">
        <v>144</v>
      </c>
      <c r="B117" s="26"/>
      <c r="C117" s="26"/>
    </row>
    <row r="118" spans="1:3" ht="31" x14ac:dyDescent="0.35">
      <c r="A118" s="148" t="s">
        <v>145</v>
      </c>
      <c r="B118" s="26"/>
      <c r="C118" s="26"/>
    </row>
    <row r="119" spans="1:3" ht="15.5" x14ac:dyDescent="0.35">
      <c r="A119" s="148" t="s">
        <v>146</v>
      </c>
      <c r="B119" s="26"/>
      <c r="C119" s="26"/>
    </row>
    <row r="120" spans="1:3" ht="15.5" x14ac:dyDescent="0.35">
      <c r="A120" s="33"/>
      <c r="B120" s="26"/>
      <c r="C120" s="26"/>
    </row>
    <row r="121" spans="1:3" ht="15.5" x14ac:dyDescent="0.35">
      <c r="A121" s="33"/>
      <c r="B121" s="26"/>
      <c r="C121" s="26"/>
    </row>
    <row r="122" spans="1:3" ht="15.5" x14ac:dyDescent="0.35">
      <c r="A122" s="33"/>
      <c r="B122" s="26"/>
      <c r="C122" s="26"/>
    </row>
    <row r="123" spans="1:3" ht="15.5" x14ac:dyDescent="0.35">
      <c r="A123" s="33"/>
      <c r="B123" s="26"/>
      <c r="C123" s="26"/>
    </row>
    <row r="124" spans="1:3" ht="15.5" x14ac:dyDescent="0.35">
      <c r="A124" s="149" t="s">
        <v>127</v>
      </c>
      <c r="B124" s="26"/>
      <c r="C124" s="26"/>
    </row>
    <row r="125" spans="1:3" ht="15.5" x14ac:dyDescent="0.35">
      <c r="A125" s="148" t="s">
        <v>147</v>
      </c>
      <c r="B125" s="26"/>
      <c r="C125" s="26"/>
    </row>
    <row r="126" spans="1:3" ht="15.5" x14ac:dyDescent="0.35">
      <c r="A126" s="148" t="s">
        <v>148</v>
      </c>
      <c r="B126" s="26"/>
      <c r="C126" s="26"/>
    </row>
    <row r="127" spans="1:3" ht="15.5" x14ac:dyDescent="0.35">
      <c r="A127" s="148" t="s">
        <v>149</v>
      </c>
      <c r="B127" s="26"/>
      <c r="C127" s="26"/>
    </row>
    <row r="128" spans="1:3" ht="15.5" x14ac:dyDescent="0.35">
      <c r="A128" s="148" t="s">
        <v>144</v>
      </c>
      <c r="B128" s="26"/>
      <c r="C128" s="26"/>
    </row>
    <row r="129" spans="1:3" ht="15.5" x14ac:dyDescent="0.35">
      <c r="A129" s="148" t="s">
        <v>135</v>
      </c>
      <c r="B129" s="26"/>
      <c r="C129" s="26"/>
    </row>
    <row r="130" spans="1:3" ht="15.5" x14ac:dyDescent="0.35">
      <c r="A130" s="148" t="s">
        <v>150</v>
      </c>
      <c r="B130" s="26"/>
      <c r="C130" s="26"/>
    </row>
    <row r="131" spans="1:3" ht="15.5" x14ac:dyDescent="0.35">
      <c r="A131" s="148" t="s">
        <v>151</v>
      </c>
      <c r="B131" s="26"/>
      <c r="C131" s="26"/>
    </row>
    <row r="132" spans="1:3" ht="15.5" x14ac:dyDescent="0.35">
      <c r="A132" s="148" t="s">
        <v>152</v>
      </c>
      <c r="B132" s="26"/>
      <c r="C132" s="26"/>
    </row>
    <row r="133" spans="1:3" ht="15.5" x14ac:dyDescent="0.35">
      <c r="A133" s="148" t="s">
        <v>153</v>
      </c>
      <c r="B133" s="26"/>
      <c r="C133" s="26"/>
    </row>
    <row r="134" spans="1:3" ht="15.5" x14ac:dyDescent="0.35">
      <c r="A134" s="148" t="s">
        <v>154</v>
      </c>
      <c r="B134" s="26"/>
      <c r="C134" s="26"/>
    </row>
    <row r="135" spans="1:3" ht="31" x14ac:dyDescent="0.35">
      <c r="A135" s="148" t="s">
        <v>155</v>
      </c>
      <c r="B135" s="26"/>
      <c r="C135" s="26"/>
    </row>
    <row r="136" spans="1:3" ht="31" x14ac:dyDescent="0.35">
      <c r="A136" s="148" t="s">
        <v>156</v>
      </c>
      <c r="B136" s="26"/>
      <c r="C136" s="26"/>
    </row>
    <row r="137" spans="1:3" ht="15.5" x14ac:dyDescent="0.35">
      <c r="A137" s="148" t="s">
        <v>130</v>
      </c>
      <c r="B137" s="26"/>
      <c r="C137" s="26"/>
    </row>
    <row r="138" spans="1:3" ht="15.5" x14ac:dyDescent="0.35">
      <c r="A138" s="148" t="s">
        <v>157</v>
      </c>
      <c r="B138" s="26"/>
      <c r="C138" s="26"/>
    </row>
    <row r="139" spans="1:3" ht="15.5" x14ac:dyDescent="0.35">
      <c r="A139" s="148" t="s">
        <v>63</v>
      </c>
      <c r="B139" s="26"/>
      <c r="C139" s="26"/>
    </row>
    <row r="140" spans="1:3" ht="31" x14ac:dyDescent="0.35">
      <c r="A140" s="148" t="s">
        <v>158</v>
      </c>
      <c r="B140" s="26"/>
      <c r="C140" s="26"/>
    </row>
    <row r="141" spans="1:3" ht="15.5" x14ac:dyDescent="0.35">
      <c r="A141" s="148" t="s">
        <v>159</v>
      </c>
      <c r="B141" s="26"/>
      <c r="C141" s="26"/>
    </row>
    <row r="142" spans="1:3" ht="15.5" x14ac:dyDescent="0.35">
      <c r="A142" s="33"/>
      <c r="B142" s="26"/>
      <c r="C142" s="26"/>
    </row>
    <row r="143" spans="1:3" ht="15.5" x14ac:dyDescent="0.35">
      <c r="A143" s="33"/>
      <c r="B143" s="26"/>
      <c r="C143" s="26"/>
    </row>
    <row r="144" spans="1:3" ht="15.5" x14ac:dyDescent="0.35">
      <c r="A144" s="33"/>
      <c r="B144" s="26"/>
      <c r="C144" s="26"/>
    </row>
  </sheetData>
  <mergeCells count="3">
    <mergeCell ref="A1:C1"/>
    <mergeCell ref="A36:C36"/>
    <mergeCell ref="A56:C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3F20F-F20B-42A7-9D40-0973F3698175}">
  <dimension ref="A1:AF28"/>
  <sheetViews>
    <sheetView zoomScale="60" zoomScaleNormal="60" workbookViewId="0">
      <pane ySplit="3" topLeftCell="A4" activePane="bottomLeft" state="frozen"/>
      <selection pane="bottomLeft" activeCell="A4" sqref="A4:XFD4"/>
    </sheetView>
  </sheetViews>
  <sheetFormatPr defaultRowHeight="14.5" x14ac:dyDescent="0.35"/>
  <sheetData>
    <row r="1" spans="1:32" ht="15.5" x14ac:dyDescent="0.35">
      <c r="A1" s="35"/>
      <c r="B1" s="36"/>
      <c r="C1" s="36"/>
      <c r="D1" s="36"/>
      <c r="E1" s="36"/>
      <c r="F1" s="36"/>
      <c r="G1" s="36"/>
      <c r="H1" s="36"/>
      <c r="I1" s="37"/>
      <c r="J1" s="37"/>
      <c r="K1" s="38"/>
      <c r="L1" s="35"/>
      <c r="M1" s="36"/>
      <c r="N1" s="35"/>
      <c r="O1" s="35"/>
      <c r="P1" s="35"/>
      <c r="Q1" s="35"/>
      <c r="R1" s="35"/>
      <c r="S1" s="35"/>
      <c r="T1" s="35"/>
      <c r="U1" s="36"/>
      <c r="V1" s="36"/>
      <c r="W1" s="36"/>
      <c r="X1" s="39"/>
      <c r="Y1" s="36"/>
      <c r="Z1" s="39"/>
      <c r="AA1" s="39"/>
      <c r="AB1" s="39"/>
      <c r="AC1" s="36"/>
      <c r="AD1" s="39"/>
      <c r="AE1" s="36"/>
      <c r="AF1" s="36"/>
    </row>
    <row r="2" spans="1:32" ht="15.5" x14ac:dyDescent="0.35">
      <c r="A2" s="35"/>
      <c r="B2" s="36"/>
      <c r="C2" s="36"/>
      <c r="D2" s="36"/>
      <c r="E2" s="36"/>
      <c r="F2" s="36"/>
      <c r="G2" s="36"/>
      <c r="H2" s="36"/>
      <c r="I2" s="37"/>
      <c r="J2" s="37"/>
      <c r="K2" s="38"/>
      <c r="L2" s="35"/>
      <c r="M2" s="36"/>
      <c r="N2" s="35"/>
      <c r="O2" s="35"/>
      <c r="P2" s="35"/>
      <c r="Q2" s="35"/>
      <c r="R2" s="75" t="s">
        <v>61</v>
      </c>
      <c r="S2" s="75"/>
      <c r="T2" s="75"/>
      <c r="U2" s="36"/>
      <c r="V2" s="76" t="s">
        <v>62</v>
      </c>
      <c r="W2" s="76"/>
      <c r="X2" s="76"/>
      <c r="Y2" s="76"/>
      <c r="Z2" s="76"/>
      <c r="AA2" s="77" t="s">
        <v>63</v>
      </c>
      <c r="AB2" s="77"/>
      <c r="AC2" s="77"/>
      <c r="AD2" s="77"/>
      <c r="AE2" s="36"/>
      <c r="AF2" s="36"/>
    </row>
    <row r="3" spans="1:32" ht="45" x14ac:dyDescent="0.35">
      <c r="A3" s="41" t="s">
        <v>64</v>
      </c>
      <c r="B3" s="41" t="s">
        <v>65</v>
      </c>
      <c r="C3" s="42" t="s">
        <v>66</v>
      </c>
      <c r="D3" s="43" t="s">
        <v>67</v>
      </c>
      <c r="E3" s="41" t="s">
        <v>68</v>
      </c>
      <c r="F3" s="41" t="s">
        <v>69</v>
      </c>
      <c r="G3" s="41" t="s">
        <v>70</v>
      </c>
      <c r="H3" s="41" t="s">
        <v>71</v>
      </c>
      <c r="I3" s="43" t="s">
        <v>72</v>
      </c>
      <c r="J3" s="43" t="s">
        <v>73</v>
      </c>
      <c r="K3" s="41" t="s">
        <v>74</v>
      </c>
      <c r="L3" s="41" t="s">
        <v>75</v>
      </c>
      <c r="M3" s="44" t="s">
        <v>76</v>
      </c>
      <c r="N3" s="41" t="s">
        <v>77</v>
      </c>
      <c r="O3" s="45" t="s">
        <v>78</v>
      </c>
      <c r="P3" s="45" t="s">
        <v>79</v>
      </c>
      <c r="Q3" s="45" t="s">
        <v>25</v>
      </c>
      <c r="R3" s="46" t="s">
        <v>80</v>
      </c>
      <c r="S3" s="46" t="s">
        <v>81</v>
      </c>
      <c r="T3" s="46" t="s">
        <v>82</v>
      </c>
      <c r="U3" s="47"/>
      <c r="V3" s="48" t="s">
        <v>83</v>
      </c>
      <c r="W3" s="48" t="s">
        <v>84</v>
      </c>
      <c r="X3" s="48" t="s">
        <v>85</v>
      </c>
      <c r="Y3" s="48" t="s">
        <v>86</v>
      </c>
      <c r="Z3" s="48" t="s">
        <v>87</v>
      </c>
      <c r="AA3" s="40" t="s">
        <v>88</v>
      </c>
      <c r="AB3" s="40" t="s">
        <v>89</v>
      </c>
      <c r="AC3" s="40" t="s">
        <v>90</v>
      </c>
      <c r="AD3" s="49" t="s">
        <v>91</v>
      </c>
      <c r="AE3" s="47"/>
      <c r="AF3" s="47" t="s">
        <v>25</v>
      </c>
    </row>
    <row r="4" spans="1:32" ht="15.5" x14ac:dyDescent="0.35">
      <c r="A4" s="50">
        <v>1</v>
      </c>
      <c r="B4" s="51">
        <v>1</v>
      </c>
      <c r="C4" s="51"/>
      <c r="D4" s="51"/>
      <c r="E4" s="51"/>
      <c r="F4" s="51"/>
      <c r="G4" s="51"/>
      <c r="H4" s="51"/>
      <c r="I4" s="50"/>
      <c r="J4" s="52"/>
      <c r="K4" s="53"/>
      <c r="L4" s="54"/>
      <c r="M4" s="55"/>
      <c r="N4" s="56"/>
      <c r="O4" s="56"/>
      <c r="P4" s="57"/>
      <c r="Q4" s="56"/>
      <c r="R4" s="56">
        <f>F4+7</f>
        <v>7</v>
      </c>
      <c r="S4" s="57">
        <f>L4+6</f>
        <v>6</v>
      </c>
      <c r="T4" s="56">
        <f>5</f>
        <v>5</v>
      </c>
      <c r="U4" s="58"/>
      <c r="V4" s="58"/>
      <c r="W4" s="58"/>
      <c r="X4" s="59"/>
      <c r="Y4" s="58"/>
      <c r="Z4" s="59"/>
      <c r="AA4" s="59"/>
      <c r="AB4" s="59"/>
      <c r="AC4" s="58"/>
      <c r="AD4" s="59"/>
      <c r="AE4" s="58"/>
      <c r="AF4" s="58"/>
    </row>
    <row r="5" spans="1:32" ht="15.5" x14ac:dyDescent="0.35">
      <c r="A5" s="50">
        <v>1</v>
      </c>
      <c r="B5" s="51">
        <v>2</v>
      </c>
      <c r="C5" s="51"/>
      <c r="D5" s="51"/>
      <c r="E5" s="51"/>
      <c r="F5" s="51"/>
      <c r="G5" s="51"/>
      <c r="H5" s="51"/>
      <c r="I5" s="50"/>
      <c r="J5" s="52"/>
      <c r="K5" s="53"/>
      <c r="L5" s="54"/>
      <c r="M5" s="55"/>
      <c r="N5" s="56"/>
      <c r="O5" s="56"/>
      <c r="P5" s="57"/>
      <c r="Q5" s="56"/>
      <c r="R5" s="56">
        <f t="shared" ref="R5:R26" si="0">F5+7</f>
        <v>7</v>
      </c>
      <c r="S5" s="57">
        <f t="shared" ref="S5:S8" si="1">L5+6</f>
        <v>6</v>
      </c>
      <c r="T5" s="56">
        <f>5</f>
        <v>5</v>
      </c>
      <c r="U5" s="58"/>
      <c r="V5" s="58"/>
      <c r="W5" s="58"/>
      <c r="X5" s="59"/>
      <c r="Y5" s="58"/>
      <c r="Z5" s="59"/>
      <c r="AA5" s="59"/>
      <c r="AB5" s="59"/>
      <c r="AC5" s="58"/>
      <c r="AD5" s="59"/>
      <c r="AE5" s="58"/>
      <c r="AF5" s="58"/>
    </row>
    <row r="6" spans="1:32" ht="15.5" x14ac:dyDescent="0.35">
      <c r="A6" s="50"/>
      <c r="B6" s="51">
        <v>3</v>
      </c>
      <c r="C6" s="51"/>
      <c r="D6" s="51"/>
      <c r="E6" s="51"/>
      <c r="F6" s="51"/>
      <c r="G6" s="51"/>
      <c r="H6" s="51"/>
      <c r="I6" s="50"/>
      <c r="J6" s="52"/>
      <c r="K6" s="53"/>
      <c r="L6" s="54"/>
      <c r="M6" s="55"/>
      <c r="N6" s="56"/>
      <c r="O6" s="56"/>
      <c r="P6" s="57"/>
      <c r="Q6" s="56"/>
      <c r="R6" s="56">
        <f t="shared" si="0"/>
        <v>7</v>
      </c>
      <c r="S6" s="57">
        <f t="shared" si="1"/>
        <v>6</v>
      </c>
      <c r="T6" s="56">
        <f>5</f>
        <v>5</v>
      </c>
      <c r="U6" s="58"/>
      <c r="V6" s="58"/>
      <c r="W6" s="58"/>
      <c r="X6" s="59"/>
      <c r="Y6" s="58"/>
      <c r="Z6" s="59"/>
      <c r="AA6" s="59"/>
      <c r="AB6" s="59"/>
      <c r="AC6" s="58"/>
      <c r="AD6" s="59"/>
      <c r="AE6" s="58"/>
      <c r="AF6" s="58"/>
    </row>
    <row r="7" spans="1:32" ht="15.5" x14ac:dyDescent="0.35">
      <c r="A7" s="50"/>
      <c r="B7" s="51">
        <v>4</v>
      </c>
      <c r="C7" s="51"/>
      <c r="D7" s="51"/>
      <c r="E7" s="51"/>
      <c r="F7" s="51"/>
      <c r="G7" s="51"/>
      <c r="H7" s="51"/>
      <c r="I7" s="50"/>
      <c r="J7" s="52"/>
      <c r="K7" s="53"/>
      <c r="L7" s="54"/>
      <c r="M7" s="55"/>
      <c r="N7" s="56"/>
      <c r="O7" s="56"/>
      <c r="P7" s="57"/>
      <c r="Q7" s="56"/>
      <c r="R7" s="56">
        <f t="shared" si="0"/>
        <v>7</v>
      </c>
      <c r="S7" s="57">
        <f t="shared" si="1"/>
        <v>6</v>
      </c>
      <c r="T7" s="56">
        <f>5</f>
        <v>5</v>
      </c>
      <c r="U7" s="58"/>
      <c r="V7" s="58"/>
      <c r="W7" s="58"/>
      <c r="X7" s="59"/>
      <c r="Y7" s="58"/>
      <c r="Z7" s="59"/>
      <c r="AA7" s="59"/>
      <c r="AB7" s="59"/>
      <c r="AC7" s="58"/>
      <c r="AD7" s="59"/>
      <c r="AE7" s="58"/>
      <c r="AF7" s="58"/>
    </row>
    <row r="8" spans="1:32" ht="15.5" x14ac:dyDescent="0.35">
      <c r="A8" s="50"/>
      <c r="B8" s="51">
        <v>5</v>
      </c>
      <c r="C8" s="51"/>
      <c r="D8" s="51"/>
      <c r="E8" s="51"/>
      <c r="F8" s="51"/>
      <c r="G8" s="51"/>
      <c r="H8" s="51"/>
      <c r="I8" s="50"/>
      <c r="J8" s="52"/>
      <c r="K8" s="53"/>
      <c r="L8" s="54"/>
      <c r="M8" s="55"/>
      <c r="N8" s="56"/>
      <c r="O8" s="56"/>
      <c r="P8" s="57"/>
      <c r="Q8" s="56"/>
      <c r="R8" s="56">
        <f t="shared" si="0"/>
        <v>7</v>
      </c>
      <c r="S8" s="57">
        <f t="shared" si="1"/>
        <v>6</v>
      </c>
      <c r="T8" s="56">
        <f>5</f>
        <v>5</v>
      </c>
      <c r="U8" s="58"/>
      <c r="V8" s="58"/>
      <c r="W8" s="58"/>
      <c r="X8" s="59"/>
      <c r="Y8" s="58"/>
      <c r="Z8" s="59"/>
      <c r="AA8" s="59"/>
      <c r="AB8" s="59"/>
      <c r="AC8" s="58"/>
      <c r="AD8" s="59"/>
      <c r="AE8" s="58"/>
      <c r="AF8" s="58"/>
    </row>
    <row r="9" spans="1:32" ht="15.5" x14ac:dyDescent="0.35">
      <c r="A9" s="50"/>
      <c r="B9" s="51">
        <v>6</v>
      </c>
      <c r="C9" s="51"/>
      <c r="D9" s="51"/>
      <c r="E9" s="51"/>
      <c r="F9" s="51"/>
      <c r="G9" s="51"/>
      <c r="H9" s="51"/>
      <c r="I9" s="50"/>
      <c r="J9" s="52"/>
      <c r="K9" s="53"/>
      <c r="L9" s="54"/>
      <c r="M9" s="55"/>
      <c r="N9" s="56"/>
      <c r="O9" s="56"/>
      <c r="P9" s="57"/>
      <c r="Q9" s="56"/>
      <c r="R9" s="56">
        <f t="shared" si="0"/>
        <v>7</v>
      </c>
      <c r="S9" s="57">
        <f t="shared" ref="S9:S26" si="2">M9+6</f>
        <v>6</v>
      </c>
      <c r="T9" s="56">
        <f>5</f>
        <v>5</v>
      </c>
      <c r="U9" s="58"/>
      <c r="V9" s="58"/>
      <c r="W9" s="58"/>
      <c r="X9" s="59"/>
      <c r="Y9" s="58"/>
      <c r="Z9" s="59"/>
      <c r="AA9" s="59"/>
      <c r="AB9" s="59"/>
      <c r="AC9" s="58"/>
      <c r="AD9" s="59"/>
      <c r="AE9" s="58"/>
      <c r="AF9" s="58"/>
    </row>
    <row r="10" spans="1:32" ht="15.5" x14ac:dyDescent="0.35">
      <c r="A10" s="50"/>
      <c r="B10" s="51">
        <v>7</v>
      </c>
      <c r="C10" s="51"/>
      <c r="D10" s="51"/>
      <c r="E10" s="51"/>
      <c r="F10" s="51"/>
      <c r="G10" s="51"/>
      <c r="H10" s="51"/>
      <c r="I10" s="50"/>
      <c r="J10" s="52"/>
      <c r="K10" s="53"/>
      <c r="L10" s="54"/>
      <c r="M10" s="55"/>
      <c r="N10" s="56"/>
      <c r="O10" s="56"/>
      <c r="P10" s="57"/>
      <c r="Q10" s="56"/>
      <c r="R10" s="56">
        <f t="shared" si="0"/>
        <v>7</v>
      </c>
      <c r="S10" s="57">
        <f t="shared" si="2"/>
        <v>6</v>
      </c>
      <c r="T10" s="56">
        <f>5</f>
        <v>5</v>
      </c>
      <c r="U10" s="58"/>
      <c r="V10" s="58"/>
      <c r="W10" s="58"/>
      <c r="X10" s="59"/>
      <c r="Y10" s="58"/>
      <c r="Z10" s="59"/>
      <c r="AA10" s="59"/>
      <c r="AB10" s="59"/>
      <c r="AC10" s="58"/>
      <c r="AD10" s="59"/>
      <c r="AE10" s="58"/>
      <c r="AF10" s="58"/>
    </row>
    <row r="11" spans="1:32" ht="15.5" x14ac:dyDescent="0.35">
      <c r="A11" s="50"/>
      <c r="B11" s="51">
        <v>8</v>
      </c>
      <c r="C11" s="51"/>
      <c r="D11" s="51"/>
      <c r="E11" s="51"/>
      <c r="F11" s="51"/>
      <c r="G11" s="51"/>
      <c r="H11" s="51"/>
      <c r="I11" s="50"/>
      <c r="J11" s="52"/>
      <c r="K11" s="53"/>
      <c r="L11" s="54"/>
      <c r="M11" s="55"/>
      <c r="N11" s="56"/>
      <c r="O11" s="56"/>
      <c r="P11" s="57"/>
      <c r="Q11" s="56"/>
      <c r="R11" s="56">
        <f t="shared" si="0"/>
        <v>7</v>
      </c>
      <c r="S11" s="57">
        <f t="shared" si="2"/>
        <v>6</v>
      </c>
      <c r="T11" s="56">
        <f>5</f>
        <v>5</v>
      </c>
      <c r="U11" s="58"/>
      <c r="V11" s="58"/>
      <c r="W11" s="58"/>
      <c r="X11" s="59"/>
      <c r="Y11" s="58"/>
      <c r="Z11" s="59"/>
      <c r="AA11" s="59"/>
      <c r="AB11" s="59"/>
      <c r="AC11" s="58"/>
      <c r="AD11" s="59"/>
      <c r="AE11" s="58"/>
      <c r="AF11" s="58"/>
    </row>
    <row r="12" spans="1:32" ht="15.5" x14ac:dyDescent="0.35">
      <c r="A12" s="50"/>
      <c r="B12" s="51">
        <v>9</v>
      </c>
      <c r="C12" s="51"/>
      <c r="D12" s="51"/>
      <c r="E12" s="51"/>
      <c r="F12" s="51"/>
      <c r="G12" s="51"/>
      <c r="H12" s="51"/>
      <c r="I12" s="50"/>
      <c r="J12" s="52"/>
      <c r="K12" s="53"/>
      <c r="L12" s="54"/>
      <c r="M12" s="55"/>
      <c r="N12" s="56"/>
      <c r="O12" s="56"/>
      <c r="P12" s="57"/>
      <c r="Q12" s="56"/>
      <c r="R12" s="56">
        <f t="shared" si="0"/>
        <v>7</v>
      </c>
      <c r="S12" s="57">
        <f t="shared" si="2"/>
        <v>6</v>
      </c>
      <c r="T12" s="56">
        <f>5</f>
        <v>5</v>
      </c>
      <c r="U12" s="58"/>
      <c r="V12" s="58"/>
      <c r="W12" s="58"/>
      <c r="X12" s="59"/>
      <c r="Y12" s="58"/>
      <c r="Z12" s="59"/>
      <c r="AA12" s="59"/>
      <c r="AB12" s="59"/>
      <c r="AC12" s="58"/>
      <c r="AD12" s="59"/>
      <c r="AE12" s="58"/>
      <c r="AF12" s="58"/>
    </row>
    <row r="13" spans="1:32" ht="15.5" x14ac:dyDescent="0.35">
      <c r="A13" s="50"/>
      <c r="B13" s="51">
        <v>10</v>
      </c>
      <c r="C13" s="51"/>
      <c r="D13" s="51"/>
      <c r="E13" s="51"/>
      <c r="F13" s="51"/>
      <c r="G13" s="51"/>
      <c r="H13" s="51"/>
      <c r="I13" s="50"/>
      <c r="J13" s="52"/>
      <c r="K13" s="53"/>
      <c r="L13" s="54"/>
      <c r="M13" s="55"/>
      <c r="N13" s="56"/>
      <c r="O13" s="56"/>
      <c r="P13" s="57"/>
      <c r="Q13" s="56"/>
      <c r="R13" s="56">
        <f t="shared" si="0"/>
        <v>7</v>
      </c>
      <c r="S13" s="57">
        <f t="shared" si="2"/>
        <v>6</v>
      </c>
      <c r="T13" s="56">
        <f>5</f>
        <v>5</v>
      </c>
      <c r="U13" s="58"/>
      <c r="V13" s="58"/>
      <c r="W13" s="58"/>
      <c r="X13" s="59"/>
      <c r="Y13" s="58"/>
      <c r="Z13" s="59"/>
      <c r="AA13" s="59"/>
      <c r="AB13" s="59"/>
      <c r="AC13" s="58"/>
      <c r="AD13" s="59"/>
      <c r="AE13" s="58"/>
      <c r="AF13" s="58"/>
    </row>
    <row r="14" spans="1:32" ht="15.5" x14ac:dyDescent="0.35">
      <c r="A14" s="50"/>
      <c r="B14" s="51">
        <v>11</v>
      </c>
      <c r="C14" s="51"/>
      <c r="D14" s="51"/>
      <c r="E14" s="51"/>
      <c r="F14" s="51"/>
      <c r="G14" s="51"/>
      <c r="H14" s="51"/>
      <c r="I14" s="50"/>
      <c r="J14" s="52"/>
      <c r="K14" s="53"/>
      <c r="L14" s="54"/>
      <c r="M14" s="55"/>
      <c r="N14" s="56"/>
      <c r="O14" s="56"/>
      <c r="P14" s="57"/>
      <c r="Q14" s="56"/>
      <c r="R14" s="56">
        <f t="shared" si="0"/>
        <v>7</v>
      </c>
      <c r="S14" s="57">
        <f t="shared" si="2"/>
        <v>6</v>
      </c>
      <c r="T14" s="56">
        <f>5</f>
        <v>5</v>
      </c>
      <c r="U14" s="58"/>
      <c r="V14" s="58"/>
      <c r="W14" s="58"/>
      <c r="X14" s="59"/>
      <c r="Y14" s="58"/>
      <c r="Z14" s="59"/>
      <c r="AA14" s="59"/>
      <c r="AB14" s="59"/>
      <c r="AC14" s="58"/>
      <c r="AD14" s="59"/>
      <c r="AE14" s="58"/>
      <c r="AF14" s="58"/>
    </row>
    <row r="15" spans="1:32" ht="15.5" x14ac:dyDescent="0.35">
      <c r="A15" s="50"/>
      <c r="B15" s="51">
        <v>12</v>
      </c>
      <c r="C15" s="51"/>
      <c r="D15" s="51"/>
      <c r="E15" s="51"/>
      <c r="F15" s="51"/>
      <c r="G15" s="51"/>
      <c r="H15" s="51"/>
      <c r="I15" s="50"/>
      <c r="J15" s="52"/>
      <c r="K15" s="53"/>
      <c r="L15" s="54"/>
      <c r="M15" s="55"/>
      <c r="N15" s="56"/>
      <c r="O15" s="56"/>
      <c r="P15" s="57"/>
      <c r="Q15" s="56"/>
      <c r="R15" s="56">
        <f t="shared" si="0"/>
        <v>7</v>
      </c>
      <c r="S15" s="57">
        <f t="shared" si="2"/>
        <v>6</v>
      </c>
      <c r="T15" s="56">
        <f>5</f>
        <v>5</v>
      </c>
      <c r="U15" s="58"/>
      <c r="V15" s="58"/>
      <c r="W15" s="58"/>
      <c r="X15" s="59"/>
      <c r="Y15" s="58"/>
      <c r="Z15" s="59"/>
      <c r="AA15" s="59"/>
      <c r="AB15" s="59"/>
      <c r="AC15" s="58"/>
      <c r="AD15" s="59"/>
      <c r="AE15" s="58"/>
      <c r="AF15" s="58"/>
    </row>
    <row r="16" spans="1:32" ht="15.5" x14ac:dyDescent="0.35">
      <c r="A16" s="50"/>
      <c r="B16" s="51">
        <v>13</v>
      </c>
      <c r="C16" s="51"/>
      <c r="D16" s="51"/>
      <c r="E16" s="51"/>
      <c r="F16" s="51"/>
      <c r="G16" s="51"/>
      <c r="H16" s="51"/>
      <c r="I16" s="50"/>
      <c r="J16" s="52"/>
      <c r="K16" s="53"/>
      <c r="L16" s="54"/>
      <c r="M16" s="55"/>
      <c r="N16" s="56"/>
      <c r="O16" s="56"/>
      <c r="P16" s="57"/>
      <c r="Q16" s="56"/>
      <c r="R16" s="56">
        <f t="shared" si="0"/>
        <v>7</v>
      </c>
      <c r="S16" s="57">
        <f t="shared" si="2"/>
        <v>6</v>
      </c>
      <c r="T16" s="56">
        <f>5</f>
        <v>5</v>
      </c>
      <c r="U16" s="58"/>
      <c r="V16" s="58"/>
      <c r="W16" s="58"/>
      <c r="X16" s="59"/>
      <c r="Y16" s="58"/>
      <c r="Z16" s="59"/>
      <c r="AA16" s="59"/>
      <c r="AB16" s="59"/>
      <c r="AC16" s="58"/>
      <c r="AD16" s="59"/>
      <c r="AE16" s="58"/>
      <c r="AF16" s="58"/>
    </row>
    <row r="17" spans="1:32" ht="15.5" x14ac:dyDescent="0.35">
      <c r="A17" s="50"/>
      <c r="B17" s="51"/>
      <c r="C17" s="51"/>
      <c r="D17" s="51"/>
      <c r="E17" s="51"/>
      <c r="F17" s="51"/>
      <c r="G17" s="51"/>
      <c r="H17" s="51"/>
      <c r="I17" s="50"/>
      <c r="J17" s="52"/>
      <c r="K17" s="53"/>
      <c r="L17" s="54"/>
      <c r="M17" s="55"/>
      <c r="N17" s="56"/>
      <c r="O17" s="56"/>
      <c r="P17" s="57"/>
      <c r="Q17" s="56"/>
      <c r="R17" s="56">
        <f t="shared" si="0"/>
        <v>7</v>
      </c>
      <c r="S17" s="57">
        <f t="shared" si="2"/>
        <v>6</v>
      </c>
      <c r="T17" s="56">
        <f>5</f>
        <v>5</v>
      </c>
      <c r="U17" s="58"/>
      <c r="V17" s="58"/>
      <c r="W17" s="58"/>
      <c r="X17" s="59"/>
      <c r="Y17" s="58"/>
      <c r="Z17" s="59"/>
      <c r="AA17" s="59"/>
      <c r="AB17" s="59"/>
      <c r="AC17" s="58"/>
      <c r="AD17" s="59"/>
      <c r="AE17" s="58"/>
      <c r="AF17" s="58"/>
    </row>
    <row r="18" spans="1:32" ht="15.5" x14ac:dyDescent="0.35">
      <c r="A18" s="60"/>
      <c r="B18" s="61"/>
      <c r="C18" s="61"/>
      <c r="D18" s="61"/>
      <c r="E18" s="58"/>
      <c r="F18" s="58"/>
      <c r="G18" s="58"/>
      <c r="H18" s="58"/>
      <c r="I18" s="56"/>
      <c r="J18" s="62"/>
      <c r="K18" s="55"/>
      <c r="L18" s="63"/>
      <c r="M18" s="55"/>
      <c r="N18" s="56"/>
      <c r="O18" s="56"/>
      <c r="P18" s="57"/>
      <c r="Q18" s="56"/>
      <c r="R18" s="56">
        <f t="shared" si="0"/>
        <v>7</v>
      </c>
      <c r="S18" s="57">
        <f t="shared" si="2"/>
        <v>6</v>
      </c>
      <c r="T18" s="56">
        <f>5</f>
        <v>5</v>
      </c>
      <c r="U18" s="58"/>
      <c r="V18" s="58"/>
      <c r="W18" s="58"/>
      <c r="X18" s="59"/>
      <c r="Y18" s="58"/>
      <c r="Z18" s="59"/>
      <c r="AA18" s="59"/>
      <c r="AB18" s="59"/>
      <c r="AC18" s="58"/>
      <c r="AD18" s="59"/>
      <c r="AE18" s="58"/>
      <c r="AF18" s="58"/>
    </row>
    <row r="19" spans="1:32" ht="15.5" x14ac:dyDescent="0.35">
      <c r="A19" s="60"/>
      <c r="B19" s="61"/>
      <c r="C19" s="61"/>
      <c r="D19" s="61"/>
      <c r="E19" s="58"/>
      <c r="F19" s="58"/>
      <c r="G19" s="58"/>
      <c r="H19" s="58"/>
      <c r="I19" s="56"/>
      <c r="J19" s="62"/>
      <c r="K19" s="55"/>
      <c r="L19" s="63"/>
      <c r="M19" s="55"/>
      <c r="N19" s="56"/>
      <c r="O19" s="56"/>
      <c r="P19" s="57"/>
      <c r="Q19" s="56"/>
      <c r="R19" s="56">
        <f t="shared" si="0"/>
        <v>7</v>
      </c>
      <c r="S19" s="57">
        <f t="shared" si="2"/>
        <v>6</v>
      </c>
      <c r="T19" s="56">
        <f>5</f>
        <v>5</v>
      </c>
      <c r="U19" s="58"/>
      <c r="V19" s="58"/>
      <c r="W19" s="58"/>
      <c r="X19" s="59"/>
      <c r="Y19" s="58"/>
      <c r="Z19" s="59"/>
      <c r="AA19" s="59"/>
      <c r="AB19" s="59"/>
      <c r="AC19" s="58"/>
      <c r="AD19" s="59"/>
      <c r="AE19" s="58"/>
      <c r="AF19" s="58"/>
    </row>
    <row r="20" spans="1:32" ht="15.5" x14ac:dyDescent="0.35">
      <c r="A20" s="60"/>
      <c r="B20" s="61"/>
      <c r="C20" s="61"/>
      <c r="D20" s="61"/>
      <c r="E20" s="58"/>
      <c r="F20" s="58"/>
      <c r="G20" s="58"/>
      <c r="H20" s="58"/>
      <c r="I20" s="56"/>
      <c r="J20" s="62"/>
      <c r="K20" s="55"/>
      <c r="L20" s="63"/>
      <c r="M20" s="55"/>
      <c r="N20" s="56"/>
      <c r="O20" s="56"/>
      <c r="P20" s="57"/>
      <c r="Q20" s="56"/>
      <c r="R20" s="56">
        <f t="shared" si="0"/>
        <v>7</v>
      </c>
      <c r="S20" s="57">
        <f t="shared" si="2"/>
        <v>6</v>
      </c>
      <c r="T20" s="56">
        <f>5</f>
        <v>5</v>
      </c>
      <c r="U20" s="58"/>
      <c r="V20" s="58"/>
      <c r="W20" s="58"/>
      <c r="X20" s="59"/>
      <c r="Y20" s="58"/>
      <c r="Z20" s="59"/>
      <c r="AA20" s="59"/>
      <c r="AB20" s="59"/>
      <c r="AC20" s="58"/>
      <c r="AD20" s="59"/>
      <c r="AE20" s="58"/>
      <c r="AF20" s="58"/>
    </row>
    <row r="21" spans="1:32" ht="15.5" x14ac:dyDescent="0.35">
      <c r="A21" s="60"/>
      <c r="B21" s="61"/>
      <c r="C21" s="61"/>
      <c r="D21" s="61"/>
      <c r="E21" s="58"/>
      <c r="F21" s="58"/>
      <c r="G21" s="58"/>
      <c r="H21" s="58"/>
      <c r="I21" s="56"/>
      <c r="J21" s="62"/>
      <c r="K21" s="55"/>
      <c r="L21" s="63"/>
      <c r="M21" s="55"/>
      <c r="N21" s="56"/>
      <c r="O21" s="56"/>
      <c r="P21" s="57"/>
      <c r="Q21" s="56"/>
      <c r="R21" s="56">
        <f t="shared" si="0"/>
        <v>7</v>
      </c>
      <c r="S21" s="57">
        <f t="shared" si="2"/>
        <v>6</v>
      </c>
      <c r="T21" s="56">
        <f>5</f>
        <v>5</v>
      </c>
      <c r="U21" s="58"/>
      <c r="V21" s="58"/>
      <c r="W21" s="58"/>
      <c r="X21" s="59"/>
      <c r="Y21" s="58"/>
      <c r="Z21" s="59"/>
      <c r="AA21" s="59"/>
      <c r="AB21" s="59"/>
      <c r="AC21" s="58"/>
      <c r="AD21" s="59"/>
      <c r="AE21" s="58"/>
      <c r="AF21" s="58"/>
    </row>
    <row r="22" spans="1:32" ht="15.5" x14ac:dyDescent="0.35">
      <c r="A22" s="60"/>
      <c r="B22" s="61"/>
      <c r="C22" s="61"/>
      <c r="D22" s="61"/>
      <c r="E22" s="58"/>
      <c r="F22" s="58"/>
      <c r="G22" s="58"/>
      <c r="H22" s="58"/>
      <c r="I22" s="56"/>
      <c r="J22" s="62"/>
      <c r="K22" s="55"/>
      <c r="L22" s="63"/>
      <c r="M22" s="55"/>
      <c r="N22" s="56"/>
      <c r="O22" s="56"/>
      <c r="P22" s="57"/>
      <c r="Q22" s="56"/>
      <c r="R22" s="56">
        <f t="shared" si="0"/>
        <v>7</v>
      </c>
      <c r="S22" s="57">
        <f t="shared" si="2"/>
        <v>6</v>
      </c>
      <c r="T22" s="56">
        <f>5</f>
        <v>5</v>
      </c>
      <c r="U22" s="58"/>
      <c r="V22" s="58"/>
      <c r="W22" s="58"/>
      <c r="X22" s="59"/>
      <c r="Y22" s="58"/>
      <c r="Z22" s="59"/>
      <c r="AA22" s="59"/>
      <c r="AB22" s="59"/>
      <c r="AC22" s="58"/>
      <c r="AD22" s="59"/>
      <c r="AE22" s="58"/>
      <c r="AF22" s="58"/>
    </row>
    <row r="23" spans="1:32" ht="15.5" x14ac:dyDescent="0.35">
      <c r="A23" s="60"/>
      <c r="B23" s="61"/>
      <c r="C23" s="61"/>
      <c r="D23" s="61"/>
      <c r="E23" s="58"/>
      <c r="F23" s="58"/>
      <c r="G23" s="58"/>
      <c r="H23" s="58"/>
      <c r="I23" s="56"/>
      <c r="J23" s="62"/>
      <c r="K23" s="55"/>
      <c r="L23" s="63"/>
      <c r="M23" s="55"/>
      <c r="N23" s="56"/>
      <c r="O23" s="56"/>
      <c r="P23" s="57"/>
      <c r="Q23" s="56"/>
      <c r="R23" s="56">
        <f t="shared" si="0"/>
        <v>7</v>
      </c>
      <c r="S23" s="57">
        <f t="shared" si="2"/>
        <v>6</v>
      </c>
      <c r="T23" s="56">
        <f>5</f>
        <v>5</v>
      </c>
      <c r="U23" s="58"/>
      <c r="V23" s="58"/>
      <c r="W23" s="58"/>
      <c r="X23" s="59"/>
      <c r="Y23" s="58"/>
      <c r="Z23" s="59"/>
      <c r="AA23" s="59"/>
      <c r="AB23" s="59"/>
      <c r="AC23" s="58"/>
      <c r="AD23" s="59"/>
      <c r="AE23" s="58"/>
      <c r="AF23" s="58"/>
    </row>
    <row r="24" spans="1:32" ht="15.5" x14ac:dyDescent="0.35">
      <c r="A24" s="60"/>
      <c r="B24" s="61"/>
      <c r="C24" s="61"/>
      <c r="D24" s="61"/>
      <c r="E24" s="58"/>
      <c r="F24" s="58"/>
      <c r="G24" s="58"/>
      <c r="H24" s="58"/>
      <c r="I24" s="56"/>
      <c r="J24" s="62"/>
      <c r="K24" s="55"/>
      <c r="L24" s="63"/>
      <c r="M24" s="55"/>
      <c r="N24" s="56"/>
      <c r="O24" s="56"/>
      <c r="P24" s="56"/>
      <c r="Q24" s="56"/>
      <c r="R24" s="56">
        <f t="shared" si="0"/>
        <v>7</v>
      </c>
      <c r="S24" s="57">
        <f t="shared" si="2"/>
        <v>6</v>
      </c>
      <c r="T24" s="56">
        <f>5</f>
        <v>5</v>
      </c>
      <c r="U24" s="58"/>
      <c r="V24" s="58"/>
      <c r="W24" s="58"/>
      <c r="X24" s="59"/>
      <c r="Y24" s="58"/>
      <c r="Z24" s="59"/>
      <c r="AA24" s="59"/>
      <c r="AB24" s="59"/>
      <c r="AC24" s="58"/>
      <c r="AD24" s="59"/>
      <c r="AE24" s="58"/>
      <c r="AF24" s="58"/>
    </row>
    <row r="25" spans="1:32" ht="15.5" x14ac:dyDescent="0.35">
      <c r="A25" s="60"/>
      <c r="B25" s="61"/>
      <c r="C25" s="61"/>
      <c r="D25" s="61"/>
      <c r="E25" s="58"/>
      <c r="F25" s="58"/>
      <c r="G25" s="58"/>
      <c r="H25" s="58"/>
      <c r="I25" s="56"/>
      <c r="J25" s="62"/>
      <c r="K25" s="55"/>
      <c r="L25" s="63"/>
      <c r="M25" s="55"/>
      <c r="N25" s="56"/>
      <c r="O25" s="56"/>
      <c r="P25" s="56"/>
      <c r="Q25" s="56"/>
      <c r="R25" s="56">
        <f t="shared" si="0"/>
        <v>7</v>
      </c>
      <c r="S25" s="57">
        <f t="shared" si="2"/>
        <v>6</v>
      </c>
      <c r="T25" s="56">
        <f>5</f>
        <v>5</v>
      </c>
      <c r="U25" s="58"/>
      <c r="V25" s="58"/>
      <c r="W25" s="58"/>
      <c r="X25" s="59"/>
      <c r="Y25" s="58"/>
      <c r="Z25" s="59"/>
      <c r="AA25" s="59"/>
      <c r="AB25" s="59"/>
      <c r="AC25" s="58"/>
      <c r="AD25" s="59"/>
      <c r="AE25" s="58"/>
      <c r="AF25" s="58"/>
    </row>
    <row r="26" spans="1:32" ht="15.5" x14ac:dyDescent="0.35">
      <c r="A26" s="60"/>
      <c r="B26" s="61"/>
      <c r="C26" s="61"/>
      <c r="D26" s="61"/>
      <c r="E26" s="58"/>
      <c r="F26" s="58"/>
      <c r="G26" s="58"/>
      <c r="H26" s="58"/>
      <c r="I26" s="56"/>
      <c r="J26" s="62"/>
      <c r="K26" s="55"/>
      <c r="L26" s="63"/>
      <c r="M26" s="55"/>
      <c r="N26" s="56"/>
      <c r="O26" s="56"/>
      <c r="P26" s="56"/>
      <c r="Q26" s="56"/>
      <c r="R26" s="56">
        <f t="shared" si="0"/>
        <v>7</v>
      </c>
      <c r="S26" s="57">
        <f t="shared" si="2"/>
        <v>6</v>
      </c>
      <c r="T26" s="56">
        <f>5</f>
        <v>5</v>
      </c>
      <c r="U26" s="58"/>
      <c r="V26" s="58"/>
      <c r="W26" s="58"/>
      <c r="X26" s="59"/>
      <c r="Y26" s="58"/>
      <c r="Z26" s="59"/>
      <c r="AA26" s="59"/>
      <c r="AB26" s="59"/>
      <c r="AC26" s="58"/>
      <c r="AD26" s="59"/>
      <c r="AE26" s="58"/>
      <c r="AF26" s="58"/>
    </row>
    <row r="27" spans="1:32" ht="15.5" x14ac:dyDescent="0.35">
      <c r="A27" s="60"/>
      <c r="B27" s="61"/>
      <c r="C27" s="61"/>
      <c r="D27" s="61"/>
      <c r="E27" s="58"/>
      <c r="F27" s="58"/>
      <c r="G27" s="58"/>
      <c r="H27" s="58"/>
      <c r="I27" s="56"/>
      <c r="J27" s="62"/>
      <c r="K27" s="55"/>
      <c r="L27" s="63"/>
      <c r="M27" s="55"/>
      <c r="N27" s="56"/>
      <c r="O27" s="56"/>
      <c r="P27" s="56"/>
      <c r="Q27" s="56"/>
      <c r="R27" s="56"/>
      <c r="S27" s="56"/>
      <c r="T27" s="56"/>
      <c r="U27" s="58"/>
      <c r="V27" s="58"/>
      <c r="W27" s="58"/>
      <c r="X27" s="59"/>
      <c r="Y27" s="58"/>
      <c r="Z27" s="59"/>
      <c r="AA27" s="59"/>
      <c r="AB27" s="59"/>
      <c r="AC27" s="58"/>
      <c r="AD27" s="59"/>
      <c r="AE27" s="58"/>
      <c r="AF27" s="58"/>
    </row>
    <row r="28" spans="1:32" ht="16" thickBot="1" x14ac:dyDescent="0.4">
      <c r="A28" s="64">
        <f>SUM(A4:A27)</f>
        <v>2</v>
      </c>
      <c r="B28" s="64">
        <f>SUM(B4:B27)</f>
        <v>91</v>
      </c>
      <c r="C28" s="65"/>
      <c r="D28" s="65"/>
      <c r="E28" s="65"/>
      <c r="F28" s="65"/>
      <c r="G28" s="65"/>
      <c r="H28" s="65"/>
      <c r="I28" s="66"/>
      <c r="J28" s="66"/>
      <c r="K28" s="67"/>
      <c r="L28" s="64">
        <f>SUM(L4:L27)</f>
        <v>0</v>
      </c>
      <c r="M28" s="64">
        <f>SUM(M4:M27)</f>
        <v>0</v>
      </c>
      <c r="N28" s="64">
        <f>SUM(N4:N27)</f>
        <v>0</v>
      </c>
      <c r="O28" s="68"/>
      <c r="P28" s="64">
        <f>SUM(P4:P27)</f>
        <v>0</v>
      </c>
      <c r="Q28" s="69"/>
      <c r="R28" s="64">
        <f>SUM(R4:R27)</f>
        <v>161</v>
      </c>
      <c r="S28" s="64">
        <f>SUM(S4:S27)</f>
        <v>138</v>
      </c>
      <c r="T28" s="64">
        <f>SUM(T4:T27)</f>
        <v>115</v>
      </c>
      <c r="U28" s="70"/>
      <c r="V28" s="64">
        <f>SUM(V4:V27)</f>
        <v>0</v>
      </c>
      <c r="W28" s="64">
        <f t="shared" ref="W28:AD28" si="3">SUM(W4:W27)</f>
        <v>0</v>
      </c>
      <c r="X28" s="64">
        <f t="shared" si="3"/>
        <v>0</v>
      </c>
      <c r="Y28" s="64">
        <f t="shared" si="3"/>
        <v>0</v>
      </c>
      <c r="Z28" s="64">
        <f t="shared" si="3"/>
        <v>0</v>
      </c>
      <c r="AA28" s="64">
        <f t="shared" si="3"/>
        <v>0</v>
      </c>
      <c r="AB28" s="64">
        <f t="shared" si="3"/>
        <v>0</v>
      </c>
      <c r="AC28" s="64">
        <f t="shared" si="3"/>
        <v>0</v>
      </c>
      <c r="AD28" s="64">
        <f t="shared" si="3"/>
        <v>0</v>
      </c>
      <c r="AE28" s="70"/>
      <c r="AF28" s="70"/>
    </row>
  </sheetData>
  <mergeCells count="3">
    <mergeCell ref="R2:T2"/>
    <mergeCell ref="V2:Z2"/>
    <mergeCell ref="AA2:A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1651-FCF6-4B6B-83E1-FCBE9686E3D5}">
  <dimension ref="A1:AA288"/>
  <sheetViews>
    <sheetView workbookViewId="0">
      <selection activeCell="C5" sqref="C5"/>
    </sheetView>
  </sheetViews>
  <sheetFormatPr defaultRowHeight="14.5" x14ac:dyDescent="0.35"/>
  <cols>
    <col min="2" max="2" width="18.1796875" customWidth="1"/>
    <col min="3" max="3" width="10.08984375" bestFit="1" customWidth="1"/>
    <col min="4" max="4" width="18.1796875" customWidth="1"/>
    <col min="5" max="6" width="10.1796875" style="78" customWidth="1"/>
    <col min="7" max="7" width="19.26953125" style="78" bestFit="1" customWidth="1"/>
    <col min="8" max="8" width="7.26953125" style="78" bestFit="1" customWidth="1"/>
    <col min="9" max="9" width="9.26953125" style="78" bestFit="1" customWidth="1"/>
    <col min="10" max="10" width="9.7265625" bestFit="1" customWidth="1"/>
    <col min="11" max="11" width="8.7265625" style="78"/>
    <col min="12" max="12" width="13.26953125" style="78" bestFit="1" customWidth="1"/>
    <col min="13" max="14" width="13.26953125" style="78" customWidth="1"/>
    <col min="15" max="15" width="8.7265625" style="78"/>
    <col min="16" max="16" width="10.26953125" style="78" customWidth="1"/>
  </cols>
  <sheetData>
    <row r="1" spans="1:27" ht="15" thickBot="1" x14ac:dyDescent="0.4">
      <c r="J1" s="79" t="s">
        <v>92</v>
      </c>
      <c r="K1" s="80"/>
      <c r="L1"/>
      <c r="M1"/>
      <c r="N1"/>
      <c r="O1"/>
      <c r="P1"/>
    </row>
    <row r="2" spans="1:27" ht="15" thickBot="1" x14ac:dyDescent="0.4">
      <c r="G2" s="81"/>
      <c r="H2" s="72" t="s">
        <v>93</v>
      </c>
      <c r="I2" s="74"/>
      <c r="J2" s="82"/>
      <c r="O2" s="83" t="s">
        <v>94</v>
      </c>
      <c r="P2" s="84" t="s">
        <v>95</v>
      </c>
      <c r="Q2" s="85" t="s">
        <v>96</v>
      </c>
      <c r="R2" s="86"/>
      <c r="S2" s="86"/>
      <c r="T2" s="86"/>
      <c r="U2" s="86"/>
      <c r="V2" s="86"/>
      <c r="W2" s="86"/>
      <c r="X2" s="86"/>
      <c r="Y2" s="86"/>
      <c r="Z2" s="86"/>
      <c r="AA2" s="87"/>
    </row>
    <row r="3" spans="1:27" ht="16" customHeight="1" x14ac:dyDescent="0.35">
      <c r="A3" s="88" t="s">
        <v>97</v>
      </c>
      <c r="B3" s="88" t="s">
        <v>97</v>
      </c>
      <c r="C3" s="146" t="s">
        <v>123</v>
      </c>
      <c r="D3" s="88" t="s">
        <v>98</v>
      </c>
      <c r="E3" s="88" t="s">
        <v>99</v>
      </c>
      <c r="F3" s="89" t="s">
        <v>100</v>
      </c>
      <c r="G3" s="89" t="s">
        <v>101</v>
      </c>
      <c r="H3" s="89" t="s">
        <v>102</v>
      </c>
      <c r="I3" s="89" t="s">
        <v>103</v>
      </c>
      <c r="J3" s="90" t="s">
        <v>104</v>
      </c>
      <c r="K3" s="91" t="s">
        <v>97</v>
      </c>
      <c r="L3" s="89" t="s">
        <v>97</v>
      </c>
      <c r="M3" s="89" t="s">
        <v>105</v>
      </c>
      <c r="N3" s="89" t="s">
        <v>105</v>
      </c>
      <c r="O3" s="92" t="s">
        <v>106</v>
      </c>
      <c r="P3" s="88" t="s">
        <v>106</v>
      </c>
      <c r="Q3" s="93"/>
      <c r="R3" s="93"/>
      <c r="S3" s="93"/>
      <c r="T3" s="93"/>
      <c r="U3" s="93"/>
      <c r="V3" s="93"/>
      <c r="W3" s="93"/>
      <c r="X3" s="93"/>
      <c r="Y3" s="93"/>
      <c r="Z3" s="94"/>
      <c r="AA3" s="94"/>
    </row>
    <row r="4" spans="1:27" ht="16" customHeight="1" thickBot="1" x14ac:dyDescent="0.4">
      <c r="A4" s="95" t="s">
        <v>107</v>
      </c>
      <c r="B4" s="95" t="s">
        <v>108</v>
      </c>
      <c r="C4" s="147"/>
      <c r="D4" s="95"/>
      <c r="E4" s="95" t="s">
        <v>109</v>
      </c>
      <c r="F4" s="95" t="s">
        <v>109</v>
      </c>
      <c r="G4" s="95"/>
      <c r="H4" s="95"/>
      <c r="I4" s="95"/>
      <c r="J4" s="96" t="s">
        <v>110</v>
      </c>
      <c r="K4" s="97" t="s">
        <v>111</v>
      </c>
      <c r="L4" s="95" t="s">
        <v>112</v>
      </c>
      <c r="M4" s="95" t="s">
        <v>113</v>
      </c>
      <c r="N4" s="95" t="s">
        <v>114</v>
      </c>
      <c r="O4" s="97" t="s">
        <v>115</v>
      </c>
      <c r="P4" s="95" t="s">
        <v>116</v>
      </c>
      <c r="Q4" s="98"/>
      <c r="R4" s="98"/>
      <c r="S4" s="98"/>
      <c r="T4" s="98"/>
      <c r="U4" s="98"/>
      <c r="V4" s="98"/>
      <c r="W4" s="98"/>
      <c r="X4" s="98"/>
      <c r="Y4" s="98"/>
      <c r="Z4" s="99"/>
      <c r="AA4" s="99"/>
    </row>
    <row r="5" spans="1:27" ht="16" x14ac:dyDescent="0.35">
      <c r="A5" s="100">
        <v>1</v>
      </c>
      <c r="B5" s="101"/>
      <c r="C5" s="101"/>
      <c r="D5" s="101"/>
      <c r="E5" s="101"/>
      <c r="F5" s="101"/>
      <c r="G5" s="101"/>
      <c r="H5" s="101"/>
      <c r="I5" s="101"/>
      <c r="J5" s="102"/>
      <c r="K5" s="103"/>
      <c r="L5" s="104">
        <f t="shared" ref="L5:L68" si="0">K5*12</f>
        <v>0</v>
      </c>
      <c r="M5" s="104"/>
      <c r="N5" s="104"/>
      <c r="O5" s="105">
        <v>0</v>
      </c>
      <c r="P5" s="106">
        <f>3.14159*K5*O5</f>
        <v>0</v>
      </c>
    </row>
    <row r="6" spans="1:27" ht="16" x14ac:dyDescent="0.35">
      <c r="A6" s="100">
        <v>2</v>
      </c>
      <c r="B6" s="101"/>
      <c r="C6" s="101"/>
      <c r="D6" s="101"/>
      <c r="E6" s="101"/>
      <c r="F6" s="101"/>
      <c r="G6" s="101"/>
      <c r="H6" s="101"/>
      <c r="I6" s="101"/>
      <c r="J6" s="102"/>
      <c r="K6" s="103"/>
      <c r="L6" s="104">
        <f t="shared" si="0"/>
        <v>0</v>
      </c>
      <c r="M6" s="104"/>
      <c r="N6" s="104"/>
      <c r="O6" s="105">
        <f t="shared" ref="O6:O69" si="1">M6+(N6/12)</f>
        <v>0</v>
      </c>
      <c r="P6" s="106">
        <f t="shared" ref="P6:P69" si="2">3.14159*K6*O6</f>
        <v>0</v>
      </c>
    </row>
    <row r="7" spans="1:27" ht="16" x14ac:dyDescent="0.35">
      <c r="A7" s="100">
        <v>3</v>
      </c>
      <c r="B7" s="101"/>
      <c r="C7" s="101"/>
      <c r="D7" s="101"/>
      <c r="E7" s="101"/>
      <c r="F7" s="101"/>
      <c r="G7" s="101"/>
      <c r="H7" s="101"/>
      <c r="I7" s="101"/>
      <c r="J7" s="102"/>
      <c r="K7" s="103"/>
      <c r="L7" s="104">
        <f t="shared" si="0"/>
        <v>0</v>
      </c>
      <c r="M7" s="104"/>
      <c r="N7" s="104"/>
      <c r="O7" s="105">
        <f t="shared" si="1"/>
        <v>0</v>
      </c>
      <c r="P7" s="106">
        <f t="shared" si="2"/>
        <v>0</v>
      </c>
    </row>
    <row r="8" spans="1:27" ht="16" x14ac:dyDescent="0.35">
      <c r="A8" s="100">
        <v>4</v>
      </c>
      <c r="B8" s="101"/>
      <c r="C8" s="101"/>
      <c r="D8" s="101"/>
      <c r="E8" s="101"/>
      <c r="F8" s="101"/>
      <c r="G8" s="101"/>
      <c r="H8" s="101"/>
      <c r="I8" s="101"/>
      <c r="J8" s="102"/>
      <c r="K8" s="103"/>
      <c r="L8" s="104">
        <f t="shared" si="0"/>
        <v>0</v>
      </c>
      <c r="M8" s="104"/>
      <c r="N8" s="104"/>
      <c r="O8" s="105">
        <f t="shared" si="1"/>
        <v>0</v>
      </c>
      <c r="P8" s="106">
        <f t="shared" si="2"/>
        <v>0</v>
      </c>
    </row>
    <row r="9" spans="1:27" ht="16" x14ac:dyDescent="0.35">
      <c r="A9" s="100">
        <v>5</v>
      </c>
      <c r="B9" s="101"/>
      <c r="C9" s="101"/>
      <c r="D9" s="101"/>
      <c r="E9" s="101"/>
      <c r="F9" s="101"/>
      <c r="G9" s="101"/>
      <c r="H9" s="101"/>
      <c r="I9" s="101"/>
      <c r="J9" s="102"/>
      <c r="K9" s="103"/>
      <c r="L9" s="104">
        <f t="shared" si="0"/>
        <v>0</v>
      </c>
      <c r="M9" s="104"/>
      <c r="N9" s="104"/>
      <c r="O9" s="105">
        <f t="shared" si="1"/>
        <v>0</v>
      </c>
      <c r="P9" s="106">
        <f t="shared" si="2"/>
        <v>0</v>
      </c>
    </row>
    <row r="10" spans="1:27" ht="16" x14ac:dyDescent="0.35">
      <c r="A10" s="100">
        <v>6</v>
      </c>
      <c r="B10" s="101"/>
      <c r="C10" s="101"/>
      <c r="D10" s="101"/>
      <c r="E10" s="100"/>
      <c r="F10" s="101"/>
      <c r="G10" s="101"/>
      <c r="H10" s="101"/>
      <c r="I10" s="101"/>
      <c r="J10" s="102"/>
      <c r="K10" s="103"/>
      <c r="L10" s="104">
        <f t="shared" si="0"/>
        <v>0</v>
      </c>
      <c r="M10" s="104"/>
      <c r="N10" s="104"/>
      <c r="O10" s="105">
        <f t="shared" si="1"/>
        <v>0</v>
      </c>
      <c r="P10" s="106">
        <f t="shared" si="2"/>
        <v>0</v>
      </c>
    </row>
    <row r="11" spans="1:27" ht="16" x14ac:dyDescent="0.35">
      <c r="A11" s="100">
        <v>7</v>
      </c>
      <c r="B11" s="101"/>
      <c r="C11" s="101"/>
      <c r="D11" s="101"/>
      <c r="E11" s="101"/>
      <c r="F11" s="101"/>
      <c r="G11" s="101"/>
      <c r="H11" s="101"/>
      <c r="I11" s="101"/>
      <c r="J11" s="102"/>
      <c r="K11" s="103"/>
      <c r="L11" s="104">
        <f t="shared" si="0"/>
        <v>0</v>
      </c>
      <c r="M11" s="104"/>
      <c r="N11" s="104"/>
      <c r="O11" s="105">
        <f t="shared" si="1"/>
        <v>0</v>
      </c>
      <c r="P11" s="106">
        <f t="shared" si="2"/>
        <v>0</v>
      </c>
    </row>
    <row r="12" spans="1:27" ht="16" x14ac:dyDescent="0.35">
      <c r="A12" s="100">
        <v>8</v>
      </c>
      <c r="B12" s="101"/>
      <c r="C12" s="101"/>
      <c r="D12" s="101"/>
      <c r="E12" s="101"/>
      <c r="F12" s="100"/>
      <c r="G12" s="101"/>
      <c r="H12" s="101"/>
      <c r="I12" s="101"/>
      <c r="J12" s="102"/>
      <c r="K12" s="103"/>
      <c r="L12" s="104">
        <f t="shared" si="0"/>
        <v>0</v>
      </c>
      <c r="M12" s="104"/>
      <c r="N12" s="104"/>
      <c r="O12" s="105">
        <f t="shared" si="1"/>
        <v>0</v>
      </c>
      <c r="P12" s="106">
        <f t="shared" si="2"/>
        <v>0</v>
      </c>
    </row>
    <row r="13" spans="1:27" ht="16" x14ac:dyDescent="0.35">
      <c r="A13" s="100">
        <v>9</v>
      </c>
      <c r="B13" s="101"/>
      <c r="C13" s="101"/>
      <c r="D13" s="101"/>
      <c r="E13" s="101"/>
      <c r="F13" s="100"/>
      <c r="G13" s="101"/>
      <c r="H13" s="101"/>
      <c r="I13" s="101"/>
      <c r="J13" s="102"/>
      <c r="K13" s="103"/>
      <c r="L13" s="104">
        <f t="shared" si="0"/>
        <v>0</v>
      </c>
      <c r="M13" s="104"/>
      <c r="N13" s="104"/>
      <c r="O13" s="105">
        <f t="shared" si="1"/>
        <v>0</v>
      </c>
      <c r="P13" s="106">
        <f t="shared" si="2"/>
        <v>0</v>
      </c>
    </row>
    <row r="14" spans="1:27" ht="16" x14ac:dyDescent="0.35">
      <c r="A14" s="100">
        <v>10</v>
      </c>
      <c r="B14" s="101"/>
      <c r="C14" s="101"/>
      <c r="D14" s="101"/>
      <c r="E14" s="101"/>
      <c r="F14" s="100"/>
      <c r="G14" s="100"/>
      <c r="H14" s="100"/>
      <c r="I14" s="100"/>
      <c r="J14" s="102"/>
      <c r="K14" s="103"/>
      <c r="L14" s="104">
        <f t="shared" si="0"/>
        <v>0</v>
      </c>
      <c r="M14" s="104"/>
      <c r="N14" s="104"/>
      <c r="O14" s="105">
        <f t="shared" si="1"/>
        <v>0</v>
      </c>
      <c r="P14" s="106">
        <f t="shared" si="2"/>
        <v>0</v>
      </c>
    </row>
    <row r="15" spans="1:27" ht="16" x14ac:dyDescent="0.35">
      <c r="A15" s="100">
        <v>11</v>
      </c>
      <c r="B15" s="101"/>
      <c r="C15" s="101"/>
      <c r="D15" s="101"/>
      <c r="E15" s="101"/>
      <c r="F15" s="100"/>
      <c r="G15" s="100"/>
      <c r="H15" s="100"/>
      <c r="I15" s="100"/>
      <c r="J15" s="102"/>
      <c r="K15" s="103"/>
      <c r="L15" s="104">
        <f t="shared" si="0"/>
        <v>0</v>
      </c>
      <c r="M15" s="104"/>
      <c r="N15" s="104"/>
      <c r="O15" s="105">
        <f t="shared" si="1"/>
        <v>0</v>
      </c>
      <c r="P15" s="106">
        <f t="shared" si="2"/>
        <v>0</v>
      </c>
    </row>
    <row r="16" spans="1:27" ht="16" x14ac:dyDescent="0.35">
      <c r="A16" s="100">
        <v>12</v>
      </c>
      <c r="B16" s="101"/>
      <c r="C16" s="101"/>
      <c r="D16" s="101"/>
      <c r="E16" s="101"/>
      <c r="F16" s="100"/>
      <c r="G16" s="100"/>
      <c r="H16" s="100"/>
      <c r="I16" s="100"/>
      <c r="J16" s="102"/>
      <c r="K16" s="103"/>
      <c r="L16" s="104">
        <f t="shared" si="0"/>
        <v>0</v>
      </c>
      <c r="M16" s="104"/>
      <c r="N16" s="104"/>
      <c r="O16" s="105">
        <f t="shared" si="1"/>
        <v>0</v>
      </c>
      <c r="P16" s="106">
        <f t="shared" si="2"/>
        <v>0</v>
      </c>
    </row>
    <row r="17" spans="1:16" ht="16" x14ac:dyDescent="0.35">
      <c r="A17" s="100">
        <v>13</v>
      </c>
      <c r="B17" s="101"/>
      <c r="C17" s="101"/>
      <c r="D17" s="101"/>
      <c r="E17" s="101"/>
      <c r="F17" s="100"/>
      <c r="G17" s="100"/>
      <c r="H17" s="100"/>
      <c r="I17" s="100"/>
      <c r="J17" s="102"/>
      <c r="K17" s="103"/>
      <c r="L17" s="104">
        <f t="shared" si="0"/>
        <v>0</v>
      </c>
      <c r="M17" s="104"/>
      <c r="N17" s="104"/>
      <c r="O17" s="105">
        <f t="shared" si="1"/>
        <v>0</v>
      </c>
      <c r="P17" s="106">
        <f t="shared" si="2"/>
        <v>0</v>
      </c>
    </row>
    <row r="18" spans="1:16" ht="16" x14ac:dyDescent="0.35">
      <c r="A18" s="100">
        <v>14</v>
      </c>
      <c r="B18" s="101"/>
      <c r="C18" s="101"/>
      <c r="D18" s="101"/>
      <c r="E18" s="101"/>
      <c r="F18" s="100"/>
      <c r="G18" s="100"/>
      <c r="H18" s="100"/>
      <c r="I18" s="100"/>
      <c r="J18" s="102"/>
      <c r="K18" s="103"/>
      <c r="L18" s="104">
        <f t="shared" si="0"/>
        <v>0</v>
      </c>
      <c r="M18" s="104"/>
      <c r="N18" s="104"/>
      <c r="O18" s="105">
        <f t="shared" si="1"/>
        <v>0</v>
      </c>
      <c r="P18" s="106">
        <f t="shared" si="2"/>
        <v>0</v>
      </c>
    </row>
    <row r="19" spans="1:16" ht="16" x14ac:dyDescent="0.35">
      <c r="A19" s="100">
        <v>15</v>
      </c>
      <c r="B19" s="101"/>
      <c r="C19" s="101"/>
      <c r="D19" s="101"/>
      <c r="E19" s="101"/>
      <c r="F19" s="100"/>
      <c r="G19" s="100"/>
      <c r="H19" s="100"/>
      <c r="I19" s="100"/>
      <c r="J19" s="102"/>
      <c r="K19" s="103"/>
      <c r="L19" s="104">
        <f t="shared" si="0"/>
        <v>0</v>
      </c>
      <c r="M19" s="104"/>
      <c r="N19" s="104"/>
      <c r="O19" s="105">
        <f t="shared" si="1"/>
        <v>0</v>
      </c>
      <c r="P19" s="106">
        <f t="shared" si="2"/>
        <v>0</v>
      </c>
    </row>
    <row r="20" spans="1:16" ht="16" x14ac:dyDescent="0.35">
      <c r="A20" s="100">
        <v>16</v>
      </c>
      <c r="B20" s="101"/>
      <c r="C20" s="101"/>
      <c r="D20" s="101"/>
      <c r="E20" s="101"/>
      <c r="F20" s="100"/>
      <c r="G20" s="100"/>
      <c r="H20" s="100"/>
      <c r="I20" s="100"/>
      <c r="J20" s="102"/>
      <c r="K20" s="103"/>
      <c r="L20" s="104">
        <f t="shared" si="0"/>
        <v>0</v>
      </c>
      <c r="M20" s="104"/>
      <c r="N20" s="104"/>
      <c r="O20" s="105">
        <f t="shared" si="1"/>
        <v>0</v>
      </c>
      <c r="P20" s="106">
        <f t="shared" si="2"/>
        <v>0</v>
      </c>
    </row>
    <row r="21" spans="1:16" ht="16" x14ac:dyDescent="0.35">
      <c r="A21" s="100">
        <v>17</v>
      </c>
      <c r="B21" s="101"/>
      <c r="C21" s="101"/>
      <c r="D21" s="101"/>
      <c r="E21" s="101"/>
      <c r="F21" s="100"/>
      <c r="G21" s="100"/>
      <c r="H21" s="100"/>
      <c r="I21" s="100"/>
      <c r="J21" s="102"/>
      <c r="K21" s="103"/>
      <c r="L21" s="104">
        <f t="shared" si="0"/>
        <v>0</v>
      </c>
      <c r="M21" s="104"/>
      <c r="N21" s="104"/>
      <c r="O21" s="105">
        <f t="shared" si="1"/>
        <v>0</v>
      </c>
      <c r="P21" s="106">
        <f t="shared" si="2"/>
        <v>0</v>
      </c>
    </row>
    <row r="22" spans="1:16" ht="16" x14ac:dyDescent="0.35">
      <c r="A22" s="100">
        <v>18</v>
      </c>
      <c r="B22" s="101"/>
      <c r="C22" s="101"/>
      <c r="D22" s="101"/>
      <c r="E22" s="101"/>
      <c r="F22" s="100"/>
      <c r="G22" s="100"/>
      <c r="H22" s="100"/>
      <c r="I22" s="100"/>
      <c r="J22" s="102"/>
      <c r="K22" s="103"/>
      <c r="L22" s="104">
        <f t="shared" si="0"/>
        <v>0</v>
      </c>
      <c r="M22" s="104"/>
      <c r="N22" s="104"/>
      <c r="O22" s="105">
        <f t="shared" si="1"/>
        <v>0</v>
      </c>
      <c r="P22" s="106">
        <f t="shared" si="2"/>
        <v>0</v>
      </c>
    </row>
    <row r="23" spans="1:16" ht="16" x14ac:dyDescent="0.35">
      <c r="A23" s="100">
        <v>19</v>
      </c>
      <c r="B23" s="101"/>
      <c r="C23" s="101"/>
      <c r="D23" s="101"/>
      <c r="E23" s="101"/>
      <c r="F23" s="100"/>
      <c r="G23" s="100"/>
      <c r="H23" s="100"/>
      <c r="I23" s="100"/>
      <c r="J23" s="102"/>
      <c r="K23" s="103"/>
      <c r="L23" s="104">
        <f t="shared" si="0"/>
        <v>0</v>
      </c>
      <c r="M23" s="104"/>
      <c r="N23" s="104"/>
      <c r="O23" s="105">
        <f t="shared" si="1"/>
        <v>0</v>
      </c>
      <c r="P23" s="106">
        <f t="shared" si="2"/>
        <v>0</v>
      </c>
    </row>
    <row r="24" spans="1:16" ht="16" x14ac:dyDescent="0.35">
      <c r="A24" s="100">
        <v>20</v>
      </c>
      <c r="B24" s="101"/>
      <c r="C24" s="101"/>
      <c r="D24" s="101"/>
      <c r="E24" s="101"/>
      <c r="F24" s="100"/>
      <c r="G24" s="100"/>
      <c r="H24" s="100"/>
      <c r="I24" s="100"/>
      <c r="J24" s="102"/>
      <c r="K24" s="103"/>
      <c r="L24" s="104">
        <f t="shared" si="0"/>
        <v>0</v>
      </c>
      <c r="M24" s="104"/>
      <c r="N24" s="104"/>
      <c r="O24" s="105">
        <f t="shared" si="1"/>
        <v>0</v>
      </c>
      <c r="P24" s="106">
        <f t="shared" si="2"/>
        <v>0</v>
      </c>
    </row>
    <row r="25" spans="1:16" ht="16" x14ac:dyDescent="0.35">
      <c r="A25" s="100">
        <v>21</v>
      </c>
      <c r="B25" s="101"/>
      <c r="C25" s="101"/>
      <c r="D25" s="101"/>
      <c r="E25" s="101"/>
      <c r="F25" s="100"/>
      <c r="G25" s="100"/>
      <c r="H25" s="100"/>
      <c r="I25" s="100"/>
      <c r="J25" s="102"/>
      <c r="K25" s="103"/>
      <c r="L25" s="104">
        <f t="shared" si="0"/>
        <v>0</v>
      </c>
      <c r="M25" s="104"/>
      <c r="N25" s="104"/>
      <c r="O25" s="105">
        <f t="shared" si="1"/>
        <v>0</v>
      </c>
      <c r="P25" s="106">
        <f t="shared" si="2"/>
        <v>0</v>
      </c>
    </row>
    <row r="26" spans="1:16" ht="16" x14ac:dyDescent="0.35">
      <c r="A26" s="100">
        <v>22</v>
      </c>
      <c r="B26" s="101"/>
      <c r="C26" s="101"/>
      <c r="D26" s="101"/>
      <c r="E26" s="101"/>
      <c r="F26" s="100"/>
      <c r="G26" s="100"/>
      <c r="H26" s="100"/>
      <c r="I26" s="100"/>
      <c r="J26" s="102"/>
      <c r="K26" s="103"/>
      <c r="L26" s="104">
        <f t="shared" si="0"/>
        <v>0</v>
      </c>
      <c r="M26" s="104"/>
      <c r="N26" s="104"/>
      <c r="O26" s="105">
        <f t="shared" si="1"/>
        <v>0</v>
      </c>
      <c r="P26" s="106">
        <f t="shared" si="2"/>
        <v>0</v>
      </c>
    </row>
    <row r="27" spans="1:16" ht="16" x14ac:dyDescent="0.35">
      <c r="A27" s="100">
        <v>23</v>
      </c>
      <c r="B27" s="101"/>
      <c r="C27" s="101"/>
      <c r="D27" s="101"/>
      <c r="E27" s="101"/>
      <c r="F27" s="100"/>
      <c r="G27" s="100"/>
      <c r="H27" s="100"/>
      <c r="I27" s="100"/>
      <c r="J27" s="102"/>
      <c r="K27" s="103"/>
      <c r="L27" s="104">
        <f t="shared" si="0"/>
        <v>0</v>
      </c>
      <c r="M27" s="104"/>
      <c r="N27" s="104"/>
      <c r="O27" s="105">
        <f t="shared" si="1"/>
        <v>0</v>
      </c>
      <c r="P27" s="106">
        <f t="shared" si="2"/>
        <v>0</v>
      </c>
    </row>
    <row r="28" spans="1:16" ht="16" x14ac:dyDescent="0.35">
      <c r="A28" s="100">
        <v>24</v>
      </c>
      <c r="B28" s="101"/>
      <c r="C28" s="101"/>
      <c r="D28" s="101"/>
      <c r="E28" s="101"/>
      <c r="F28" s="100"/>
      <c r="G28" s="100"/>
      <c r="H28" s="100"/>
      <c r="I28" s="100"/>
      <c r="J28" s="102"/>
      <c r="K28" s="103"/>
      <c r="L28" s="104">
        <f t="shared" si="0"/>
        <v>0</v>
      </c>
      <c r="M28" s="104"/>
      <c r="N28" s="104"/>
      <c r="O28" s="105">
        <f t="shared" si="1"/>
        <v>0</v>
      </c>
      <c r="P28" s="106">
        <f t="shared" si="2"/>
        <v>0</v>
      </c>
    </row>
    <row r="29" spans="1:16" ht="16" x14ac:dyDescent="0.35">
      <c r="A29" s="100">
        <v>25</v>
      </c>
      <c r="B29" s="101"/>
      <c r="C29" s="101"/>
      <c r="D29" s="101"/>
      <c r="E29" s="101"/>
      <c r="F29" s="100"/>
      <c r="G29" s="100"/>
      <c r="H29" s="100"/>
      <c r="I29" s="100"/>
      <c r="J29" s="102"/>
      <c r="K29" s="103"/>
      <c r="L29" s="104">
        <f t="shared" si="0"/>
        <v>0</v>
      </c>
      <c r="M29" s="104"/>
      <c r="N29" s="104"/>
      <c r="O29" s="105">
        <f t="shared" si="1"/>
        <v>0</v>
      </c>
      <c r="P29" s="106">
        <f t="shared" si="2"/>
        <v>0</v>
      </c>
    </row>
    <row r="30" spans="1:16" ht="16" x14ac:dyDescent="0.35">
      <c r="A30" s="100">
        <v>26</v>
      </c>
      <c r="B30" s="101"/>
      <c r="C30" s="101"/>
      <c r="D30" s="101"/>
      <c r="E30" s="101"/>
      <c r="F30" s="100"/>
      <c r="G30" s="100"/>
      <c r="H30" s="100"/>
      <c r="I30" s="100"/>
      <c r="J30" s="102"/>
      <c r="K30" s="103"/>
      <c r="L30" s="104">
        <f t="shared" si="0"/>
        <v>0</v>
      </c>
      <c r="M30" s="104"/>
      <c r="N30" s="104"/>
      <c r="O30" s="105">
        <f t="shared" si="1"/>
        <v>0</v>
      </c>
      <c r="P30" s="106">
        <f t="shared" si="2"/>
        <v>0</v>
      </c>
    </row>
    <row r="31" spans="1:16" ht="16" x14ac:dyDescent="0.35">
      <c r="A31" s="100">
        <v>27</v>
      </c>
      <c r="B31" s="101"/>
      <c r="C31" s="101"/>
      <c r="D31" s="101"/>
      <c r="E31" s="101"/>
      <c r="F31" s="100"/>
      <c r="G31" s="100"/>
      <c r="H31" s="100"/>
      <c r="I31" s="100"/>
      <c r="J31" s="102"/>
      <c r="K31" s="103"/>
      <c r="L31" s="104">
        <f t="shared" si="0"/>
        <v>0</v>
      </c>
      <c r="M31" s="104"/>
      <c r="N31" s="104"/>
      <c r="O31" s="105">
        <f t="shared" si="1"/>
        <v>0</v>
      </c>
      <c r="P31" s="106">
        <f t="shared" si="2"/>
        <v>0</v>
      </c>
    </row>
    <row r="32" spans="1:16" ht="16" x14ac:dyDescent="0.35">
      <c r="A32" s="100">
        <v>28</v>
      </c>
      <c r="B32" s="101"/>
      <c r="C32" s="101"/>
      <c r="D32" s="101"/>
      <c r="E32" s="101"/>
      <c r="F32" s="100"/>
      <c r="G32" s="100"/>
      <c r="H32" s="100"/>
      <c r="I32" s="100"/>
      <c r="J32" s="102"/>
      <c r="K32" s="103"/>
      <c r="L32" s="104">
        <f t="shared" si="0"/>
        <v>0</v>
      </c>
      <c r="M32" s="104"/>
      <c r="N32" s="104"/>
      <c r="O32" s="105">
        <f t="shared" si="1"/>
        <v>0</v>
      </c>
      <c r="P32" s="106">
        <f t="shared" si="2"/>
        <v>0</v>
      </c>
    </row>
    <row r="33" spans="1:16" ht="16" x14ac:dyDescent="0.35">
      <c r="A33" s="100">
        <v>29</v>
      </c>
      <c r="B33" s="101"/>
      <c r="C33" s="101"/>
      <c r="D33" s="101"/>
      <c r="E33" s="101"/>
      <c r="F33" s="100"/>
      <c r="G33" s="100"/>
      <c r="H33" s="100"/>
      <c r="I33" s="100"/>
      <c r="J33" s="102"/>
      <c r="K33" s="103"/>
      <c r="L33" s="104">
        <f t="shared" si="0"/>
        <v>0</v>
      </c>
      <c r="M33" s="104"/>
      <c r="N33" s="104"/>
      <c r="O33" s="105">
        <f t="shared" si="1"/>
        <v>0</v>
      </c>
      <c r="P33" s="106">
        <f t="shared" si="2"/>
        <v>0</v>
      </c>
    </row>
    <row r="34" spans="1:16" ht="16" x14ac:dyDescent="0.35">
      <c r="A34" s="100">
        <v>30</v>
      </c>
      <c r="B34" s="101"/>
      <c r="C34" s="101"/>
      <c r="D34" s="101"/>
      <c r="E34" s="101"/>
      <c r="F34" s="100"/>
      <c r="G34" s="100"/>
      <c r="H34" s="100"/>
      <c r="I34" s="100"/>
      <c r="J34" s="102"/>
      <c r="K34" s="103"/>
      <c r="L34" s="104">
        <f t="shared" si="0"/>
        <v>0</v>
      </c>
      <c r="M34" s="104"/>
      <c r="N34" s="104"/>
      <c r="O34" s="105">
        <f t="shared" si="1"/>
        <v>0</v>
      </c>
      <c r="P34" s="106">
        <f t="shared" si="2"/>
        <v>0</v>
      </c>
    </row>
    <row r="35" spans="1:16" ht="16" x14ac:dyDescent="0.35">
      <c r="A35" s="100">
        <v>31</v>
      </c>
      <c r="B35" s="101"/>
      <c r="C35" s="101"/>
      <c r="D35" s="101"/>
      <c r="E35" s="101"/>
      <c r="F35" s="100"/>
      <c r="G35" s="100"/>
      <c r="H35" s="100"/>
      <c r="I35" s="100"/>
      <c r="J35" s="102"/>
      <c r="K35" s="103"/>
      <c r="L35" s="104">
        <f t="shared" si="0"/>
        <v>0</v>
      </c>
      <c r="M35" s="104"/>
      <c r="N35" s="104"/>
      <c r="O35" s="105">
        <f t="shared" si="1"/>
        <v>0</v>
      </c>
      <c r="P35" s="106">
        <f t="shared" si="2"/>
        <v>0</v>
      </c>
    </row>
    <row r="36" spans="1:16" ht="16" x14ac:dyDescent="0.35">
      <c r="A36" s="100">
        <v>32</v>
      </c>
      <c r="B36" s="101"/>
      <c r="C36" s="101"/>
      <c r="D36" s="101"/>
      <c r="E36" s="101"/>
      <c r="F36" s="100"/>
      <c r="G36" s="100"/>
      <c r="H36" s="100"/>
      <c r="I36" s="100"/>
      <c r="J36" s="102"/>
      <c r="K36" s="103"/>
      <c r="L36" s="104">
        <f t="shared" si="0"/>
        <v>0</v>
      </c>
      <c r="M36" s="104"/>
      <c r="N36" s="104"/>
      <c r="O36" s="105">
        <f t="shared" si="1"/>
        <v>0</v>
      </c>
      <c r="P36" s="106">
        <f t="shared" si="2"/>
        <v>0</v>
      </c>
    </row>
    <row r="37" spans="1:16" ht="16" x14ac:dyDescent="0.35">
      <c r="A37" s="100">
        <v>33</v>
      </c>
      <c r="B37" s="101"/>
      <c r="C37" s="101"/>
      <c r="D37" s="101"/>
      <c r="E37" s="101"/>
      <c r="F37" s="100"/>
      <c r="G37" s="100"/>
      <c r="H37" s="100"/>
      <c r="I37" s="100"/>
      <c r="J37" s="102"/>
      <c r="K37" s="103"/>
      <c r="L37" s="104">
        <f t="shared" si="0"/>
        <v>0</v>
      </c>
      <c r="M37" s="104"/>
      <c r="N37" s="104"/>
      <c r="O37" s="105">
        <f t="shared" si="1"/>
        <v>0</v>
      </c>
      <c r="P37" s="106">
        <f t="shared" si="2"/>
        <v>0</v>
      </c>
    </row>
    <row r="38" spans="1:16" ht="16.5" thickBot="1" x14ac:dyDescent="0.4">
      <c r="A38" s="100">
        <v>34</v>
      </c>
      <c r="B38" s="107"/>
      <c r="C38" s="107"/>
      <c r="D38" s="107"/>
      <c r="E38" s="107"/>
      <c r="F38" s="108"/>
      <c r="G38" s="108"/>
      <c r="H38" s="108"/>
      <c r="I38" s="108"/>
      <c r="J38" s="102"/>
      <c r="K38" s="103"/>
      <c r="L38" s="104">
        <f t="shared" si="0"/>
        <v>0</v>
      </c>
      <c r="M38" s="104"/>
      <c r="N38" s="104"/>
      <c r="O38" s="105">
        <f t="shared" si="1"/>
        <v>0</v>
      </c>
      <c r="P38" s="106">
        <f t="shared" si="2"/>
        <v>0</v>
      </c>
    </row>
    <row r="39" spans="1:16" ht="16.5" thickBot="1" x14ac:dyDescent="0.4">
      <c r="A39" s="100">
        <v>35</v>
      </c>
      <c r="B39" s="101"/>
      <c r="C39" s="101"/>
      <c r="D39" s="101"/>
      <c r="E39" s="101"/>
      <c r="F39" s="101"/>
      <c r="G39" s="101"/>
      <c r="H39" s="101"/>
      <c r="I39" s="101"/>
      <c r="J39" s="109"/>
      <c r="K39" s="110"/>
      <c r="L39" s="111">
        <f t="shared" si="0"/>
        <v>0</v>
      </c>
      <c r="M39" s="111"/>
      <c r="N39" s="111"/>
      <c r="O39" s="105">
        <f t="shared" si="1"/>
        <v>0</v>
      </c>
      <c r="P39" s="106">
        <f t="shared" si="2"/>
        <v>0</v>
      </c>
    </row>
    <row r="40" spans="1:16" ht="16" x14ac:dyDescent="0.35">
      <c r="A40" s="100">
        <v>36</v>
      </c>
      <c r="B40" s="101"/>
      <c r="C40" s="101"/>
      <c r="D40" s="101"/>
      <c r="E40" s="101"/>
      <c r="F40" s="100"/>
      <c r="G40" s="100"/>
      <c r="H40" s="100"/>
      <c r="I40" s="100"/>
      <c r="J40" s="102"/>
      <c r="K40" s="103"/>
      <c r="L40" s="104">
        <f t="shared" si="0"/>
        <v>0</v>
      </c>
      <c r="M40" s="104"/>
      <c r="N40" s="104"/>
      <c r="O40" s="105">
        <f t="shared" si="1"/>
        <v>0</v>
      </c>
      <c r="P40" s="106">
        <f t="shared" si="2"/>
        <v>0</v>
      </c>
    </row>
    <row r="41" spans="1:16" ht="16" x14ac:dyDescent="0.35">
      <c r="A41" s="100">
        <v>37</v>
      </c>
      <c r="B41" s="101"/>
      <c r="C41" s="101"/>
      <c r="D41" s="101"/>
      <c r="E41" s="101"/>
      <c r="F41" s="100"/>
      <c r="G41" s="100"/>
      <c r="H41" s="100"/>
      <c r="I41" s="100"/>
      <c r="J41" s="102"/>
      <c r="K41" s="103"/>
      <c r="L41" s="104">
        <f t="shared" si="0"/>
        <v>0</v>
      </c>
      <c r="M41" s="104"/>
      <c r="N41" s="104"/>
      <c r="O41" s="105">
        <f t="shared" si="1"/>
        <v>0</v>
      </c>
      <c r="P41" s="106">
        <f t="shared" si="2"/>
        <v>0</v>
      </c>
    </row>
    <row r="42" spans="1:16" ht="16" x14ac:dyDescent="0.35">
      <c r="A42" s="100">
        <v>38</v>
      </c>
      <c r="B42" s="101"/>
      <c r="C42" s="101"/>
      <c r="D42" s="101"/>
      <c r="E42" s="101"/>
      <c r="F42" s="100"/>
      <c r="G42" s="100"/>
      <c r="H42" s="100"/>
      <c r="I42" s="100"/>
      <c r="J42" s="102"/>
      <c r="K42" s="103"/>
      <c r="L42" s="104">
        <f t="shared" si="0"/>
        <v>0</v>
      </c>
      <c r="M42" s="104"/>
      <c r="N42" s="104"/>
      <c r="O42" s="105">
        <f t="shared" si="1"/>
        <v>0</v>
      </c>
      <c r="P42" s="106">
        <f t="shared" si="2"/>
        <v>0</v>
      </c>
    </row>
    <row r="43" spans="1:16" ht="16" x14ac:dyDescent="0.35">
      <c r="A43" s="100">
        <v>39</v>
      </c>
      <c r="B43" s="101"/>
      <c r="C43" s="101"/>
      <c r="D43" s="101"/>
      <c r="E43" s="101"/>
      <c r="F43" s="100"/>
      <c r="G43" s="100"/>
      <c r="H43" s="100"/>
      <c r="I43" s="100"/>
      <c r="J43" s="102"/>
      <c r="K43" s="103"/>
      <c r="L43" s="104">
        <f t="shared" si="0"/>
        <v>0</v>
      </c>
      <c r="M43" s="104"/>
      <c r="N43" s="104"/>
      <c r="O43" s="105">
        <f t="shared" si="1"/>
        <v>0</v>
      </c>
      <c r="P43" s="106">
        <f t="shared" si="2"/>
        <v>0</v>
      </c>
    </row>
    <row r="44" spans="1:16" ht="16" x14ac:dyDescent="0.35">
      <c r="A44" s="100">
        <v>40</v>
      </c>
      <c r="B44" s="101"/>
      <c r="C44" s="101"/>
      <c r="D44" s="101"/>
      <c r="E44" s="101"/>
      <c r="F44" s="100"/>
      <c r="G44" s="100"/>
      <c r="H44" s="100"/>
      <c r="I44" s="100"/>
      <c r="J44" s="102"/>
      <c r="K44" s="103"/>
      <c r="L44" s="104">
        <f t="shared" si="0"/>
        <v>0</v>
      </c>
      <c r="M44" s="104"/>
      <c r="N44" s="104"/>
      <c r="O44" s="105">
        <f t="shared" si="1"/>
        <v>0</v>
      </c>
      <c r="P44" s="106">
        <f t="shared" si="2"/>
        <v>0</v>
      </c>
    </row>
    <row r="45" spans="1:16" ht="16" x14ac:dyDescent="0.35">
      <c r="A45" s="100">
        <v>41</v>
      </c>
      <c r="B45" s="101"/>
      <c r="C45" s="101"/>
      <c r="D45" s="101"/>
      <c r="E45" s="101"/>
      <c r="F45" s="100"/>
      <c r="G45" s="100"/>
      <c r="H45" s="100"/>
      <c r="I45" s="100"/>
      <c r="J45" s="102"/>
      <c r="K45" s="103"/>
      <c r="L45" s="104">
        <f t="shared" si="0"/>
        <v>0</v>
      </c>
      <c r="M45" s="104"/>
      <c r="N45" s="104"/>
      <c r="O45" s="105">
        <f t="shared" si="1"/>
        <v>0</v>
      </c>
      <c r="P45" s="106">
        <f t="shared" si="2"/>
        <v>0</v>
      </c>
    </row>
    <row r="46" spans="1:16" ht="16" x14ac:dyDescent="0.35">
      <c r="A46" s="100">
        <v>42</v>
      </c>
      <c r="B46" s="101"/>
      <c r="C46" s="101"/>
      <c r="D46" s="101"/>
      <c r="E46" s="101"/>
      <c r="F46" s="100"/>
      <c r="G46" s="100"/>
      <c r="H46" s="100"/>
      <c r="I46" s="100"/>
      <c r="J46" s="102"/>
      <c r="K46" s="103"/>
      <c r="L46" s="104">
        <f t="shared" si="0"/>
        <v>0</v>
      </c>
      <c r="M46" s="104"/>
      <c r="N46" s="104"/>
      <c r="O46" s="105">
        <f t="shared" si="1"/>
        <v>0</v>
      </c>
      <c r="P46" s="106">
        <f t="shared" si="2"/>
        <v>0</v>
      </c>
    </row>
    <row r="47" spans="1:16" ht="16" x14ac:dyDescent="0.35">
      <c r="A47" s="100">
        <v>43</v>
      </c>
      <c r="B47" s="101"/>
      <c r="C47" s="101"/>
      <c r="D47" s="101"/>
      <c r="E47" s="101"/>
      <c r="F47" s="100"/>
      <c r="G47" s="100"/>
      <c r="H47" s="100"/>
      <c r="I47" s="100"/>
      <c r="J47" s="102"/>
      <c r="K47" s="103"/>
      <c r="L47" s="104">
        <f t="shared" si="0"/>
        <v>0</v>
      </c>
      <c r="M47" s="104"/>
      <c r="N47" s="104"/>
      <c r="O47" s="105">
        <f t="shared" si="1"/>
        <v>0</v>
      </c>
      <c r="P47" s="106">
        <f t="shared" si="2"/>
        <v>0</v>
      </c>
    </row>
    <row r="48" spans="1:16" ht="16" x14ac:dyDescent="0.35">
      <c r="A48" s="100">
        <v>44</v>
      </c>
      <c r="B48" s="101"/>
      <c r="C48" s="101"/>
      <c r="D48" s="101"/>
      <c r="E48" s="101"/>
      <c r="F48" s="100"/>
      <c r="G48" s="100"/>
      <c r="H48" s="100"/>
      <c r="I48" s="100"/>
      <c r="J48" s="102"/>
      <c r="K48" s="103"/>
      <c r="L48" s="104">
        <f t="shared" si="0"/>
        <v>0</v>
      </c>
      <c r="M48" s="104"/>
      <c r="N48" s="104"/>
      <c r="O48" s="105">
        <f t="shared" si="1"/>
        <v>0</v>
      </c>
      <c r="P48" s="106">
        <f t="shared" si="2"/>
        <v>0</v>
      </c>
    </row>
    <row r="49" spans="1:16" ht="16" x14ac:dyDescent="0.35">
      <c r="A49" s="100">
        <v>45</v>
      </c>
      <c r="B49" s="101"/>
      <c r="C49" s="101"/>
      <c r="D49" s="101"/>
      <c r="E49" s="101"/>
      <c r="F49" s="100"/>
      <c r="G49" s="100"/>
      <c r="H49" s="100"/>
      <c r="I49" s="100"/>
      <c r="J49" s="102"/>
      <c r="K49" s="103"/>
      <c r="L49" s="104">
        <f t="shared" si="0"/>
        <v>0</v>
      </c>
      <c r="M49" s="104"/>
      <c r="N49" s="104"/>
      <c r="O49" s="105">
        <f t="shared" si="1"/>
        <v>0</v>
      </c>
      <c r="P49" s="106">
        <f t="shared" si="2"/>
        <v>0</v>
      </c>
    </row>
    <row r="50" spans="1:16" ht="16" x14ac:dyDescent="0.35">
      <c r="A50" s="100">
        <v>46</v>
      </c>
      <c r="B50" s="101"/>
      <c r="C50" s="101"/>
      <c r="D50" s="101"/>
      <c r="E50" s="101"/>
      <c r="F50" s="100"/>
      <c r="G50" s="100"/>
      <c r="H50" s="100"/>
      <c r="I50" s="100"/>
      <c r="J50" s="102"/>
      <c r="K50" s="103"/>
      <c r="L50" s="104">
        <f t="shared" si="0"/>
        <v>0</v>
      </c>
      <c r="M50" s="104"/>
      <c r="N50" s="104"/>
      <c r="O50" s="105">
        <f t="shared" si="1"/>
        <v>0</v>
      </c>
      <c r="P50" s="106">
        <f t="shared" si="2"/>
        <v>0</v>
      </c>
    </row>
    <row r="51" spans="1:16" ht="16" x14ac:dyDescent="0.35">
      <c r="A51" s="100">
        <v>47</v>
      </c>
      <c r="B51" s="101"/>
      <c r="C51" s="101"/>
      <c r="D51" s="101"/>
      <c r="E51" s="101"/>
      <c r="F51" s="100"/>
      <c r="G51" s="100"/>
      <c r="H51" s="100"/>
      <c r="I51" s="100"/>
      <c r="J51" s="102"/>
      <c r="K51" s="103"/>
      <c r="L51" s="104">
        <f t="shared" si="0"/>
        <v>0</v>
      </c>
      <c r="M51" s="104"/>
      <c r="N51" s="104"/>
      <c r="O51" s="105">
        <f t="shared" si="1"/>
        <v>0</v>
      </c>
      <c r="P51" s="106">
        <f t="shared" si="2"/>
        <v>0</v>
      </c>
    </row>
    <row r="52" spans="1:16" ht="16" x14ac:dyDescent="0.35">
      <c r="A52" s="100">
        <v>48</v>
      </c>
      <c r="B52" s="101"/>
      <c r="C52" s="101"/>
      <c r="D52" s="101"/>
      <c r="E52" s="101"/>
      <c r="F52" s="100"/>
      <c r="G52" s="100"/>
      <c r="H52" s="100"/>
      <c r="I52" s="100"/>
      <c r="J52" s="102"/>
      <c r="K52" s="103"/>
      <c r="L52" s="104">
        <f t="shared" si="0"/>
        <v>0</v>
      </c>
      <c r="M52" s="104"/>
      <c r="N52" s="104"/>
      <c r="O52" s="105">
        <f t="shared" si="1"/>
        <v>0</v>
      </c>
      <c r="P52" s="106">
        <f t="shared" si="2"/>
        <v>0</v>
      </c>
    </row>
    <row r="53" spans="1:16" ht="16" x14ac:dyDescent="0.35">
      <c r="A53" s="100">
        <v>49</v>
      </c>
      <c r="B53" s="101"/>
      <c r="C53" s="101"/>
      <c r="D53" s="101"/>
      <c r="E53" s="101"/>
      <c r="F53" s="100"/>
      <c r="G53" s="100"/>
      <c r="H53" s="100"/>
      <c r="I53" s="100"/>
      <c r="J53" s="102"/>
      <c r="K53" s="103"/>
      <c r="L53" s="104">
        <f t="shared" si="0"/>
        <v>0</v>
      </c>
      <c r="M53" s="104"/>
      <c r="N53" s="104"/>
      <c r="O53" s="105">
        <f t="shared" si="1"/>
        <v>0</v>
      </c>
      <c r="P53" s="106">
        <f t="shared" si="2"/>
        <v>0</v>
      </c>
    </row>
    <row r="54" spans="1:16" ht="16" x14ac:dyDescent="0.35">
      <c r="A54" s="100">
        <v>50</v>
      </c>
      <c r="B54" s="101"/>
      <c r="C54" s="101"/>
      <c r="D54" s="101"/>
      <c r="E54" s="101"/>
      <c r="F54" s="100"/>
      <c r="G54" s="100"/>
      <c r="H54" s="100"/>
      <c r="I54" s="100"/>
      <c r="J54" s="102"/>
      <c r="K54" s="103"/>
      <c r="L54" s="104">
        <f t="shared" si="0"/>
        <v>0</v>
      </c>
      <c r="M54" s="104"/>
      <c r="N54" s="104"/>
      <c r="O54" s="105">
        <f t="shared" si="1"/>
        <v>0</v>
      </c>
      <c r="P54" s="106">
        <f t="shared" si="2"/>
        <v>0</v>
      </c>
    </row>
    <row r="55" spans="1:16" ht="16" x14ac:dyDescent="0.35">
      <c r="A55" s="100">
        <v>51</v>
      </c>
      <c r="B55" s="101"/>
      <c r="C55" s="101"/>
      <c r="D55" s="101"/>
      <c r="E55" s="101"/>
      <c r="F55" s="100"/>
      <c r="G55" s="100"/>
      <c r="H55" s="100"/>
      <c r="I55" s="100"/>
      <c r="J55" s="102"/>
      <c r="K55" s="103"/>
      <c r="L55" s="104">
        <f t="shared" si="0"/>
        <v>0</v>
      </c>
      <c r="M55" s="104"/>
      <c r="N55" s="104"/>
      <c r="O55" s="105">
        <f t="shared" si="1"/>
        <v>0</v>
      </c>
      <c r="P55" s="106">
        <f t="shared" si="2"/>
        <v>0</v>
      </c>
    </row>
    <row r="56" spans="1:16" ht="16" x14ac:dyDescent="0.35">
      <c r="A56" s="100">
        <v>52</v>
      </c>
      <c r="B56" s="101"/>
      <c r="C56" s="101"/>
      <c r="D56" s="101"/>
      <c r="E56" s="101"/>
      <c r="F56" s="100"/>
      <c r="G56" s="100"/>
      <c r="H56" s="100"/>
      <c r="I56" s="100"/>
      <c r="J56" s="102"/>
      <c r="K56" s="103"/>
      <c r="L56" s="104">
        <f t="shared" si="0"/>
        <v>0</v>
      </c>
      <c r="M56" s="104"/>
      <c r="N56" s="104"/>
      <c r="O56" s="105">
        <f t="shared" si="1"/>
        <v>0</v>
      </c>
      <c r="P56" s="106">
        <f t="shared" si="2"/>
        <v>0</v>
      </c>
    </row>
    <row r="57" spans="1:16" ht="16" x14ac:dyDescent="0.35">
      <c r="A57" s="100">
        <v>53</v>
      </c>
      <c r="B57" s="101"/>
      <c r="C57" s="101"/>
      <c r="D57" s="101"/>
      <c r="E57" s="101"/>
      <c r="F57" s="100"/>
      <c r="G57" s="100"/>
      <c r="H57" s="100"/>
      <c r="I57" s="100"/>
      <c r="J57" s="102"/>
      <c r="K57" s="103"/>
      <c r="L57" s="104">
        <f t="shared" si="0"/>
        <v>0</v>
      </c>
      <c r="M57" s="104"/>
      <c r="N57" s="104"/>
      <c r="O57" s="105">
        <f t="shared" si="1"/>
        <v>0</v>
      </c>
      <c r="P57" s="106">
        <f t="shared" si="2"/>
        <v>0</v>
      </c>
    </row>
    <row r="58" spans="1:16" ht="16" x14ac:dyDescent="0.35">
      <c r="A58" s="100">
        <v>54</v>
      </c>
      <c r="B58" s="101"/>
      <c r="C58" s="101"/>
      <c r="D58" s="101"/>
      <c r="E58" s="101"/>
      <c r="F58" s="100"/>
      <c r="G58" s="100"/>
      <c r="H58" s="100"/>
      <c r="I58" s="100"/>
      <c r="J58" s="102"/>
      <c r="K58" s="103"/>
      <c r="L58" s="104">
        <f t="shared" si="0"/>
        <v>0</v>
      </c>
      <c r="M58" s="104"/>
      <c r="N58" s="104"/>
      <c r="O58" s="105">
        <f t="shared" si="1"/>
        <v>0</v>
      </c>
      <c r="P58" s="106">
        <f t="shared" si="2"/>
        <v>0</v>
      </c>
    </row>
    <row r="59" spans="1:16" ht="16" x14ac:dyDescent="0.35">
      <c r="A59" s="100">
        <v>55</v>
      </c>
      <c r="B59" s="101"/>
      <c r="C59" s="101"/>
      <c r="D59" s="101"/>
      <c r="E59" s="101"/>
      <c r="F59" s="100"/>
      <c r="G59" s="100"/>
      <c r="H59" s="100"/>
      <c r="I59" s="100"/>
      <c r="J59" s="102"/>
      <c r="K59" s="103"/>
      <c r="L59" s="104">
        <f t="shared" si="0"/>
        <v>0</v>
      </c>
      <c r="M59" s="104"/>
      <c r="N59" s="104"/>
      <c r="O59" s="105">
        <f t="shared" si="1"/>
        <v>0</v>
      </c>
      <c r="P59" s="106">
        <f t="shared" si="2"/>
        <v>0</v>
      </c>
    </row>
    <row r="60" spans="1:16" ht="16" x14ac:dyDescent="0.35">
      <c r="A60" s="100">
        <v>56</v>
      </c>
      <c r="B60" s="101"/>
      <c r="C60" s="101"/>
      <c r="D60" s="101"/>
      <c r="E60" s="101"/>
      <c r="F60" s="100"/>
      <c r="G60" s="100"/>
      <c r="H60" s="100"/>
      <c r="I60" s="100"/>
      <c r="J60" s="102"/>
      <c r="K60" s="103"/>
      <c r="L60" s="104">
        <f t="shared" si="0"/>
        <v>0</v>
      </c>
      <c r="M60" s="104"/>
      <c r="N60" s="104"/>
      <c r="O60" s="105">
        <f t="shared" si="1"/>
        <v>0</v>
      </c>
      <c r="P60" s="106">
        <f t="shared" si="2"/>
        <v>0</v>
      </c>
    </row>
    <row r="61" spans="1:16" ht="16" x14ac:dyDescent="0.35">
      <c r="A61" s="100">
        <v>57</v>
      </c>
      <c r="B61" s="101"/>
      <c r="C61" s="101"/>
      <c r="D61" s="101"/>
      <c r="E61" s="101"/>
      <c r="F61" s="100"/>
      <c r="G61" s="100"/>
      <c r="H61" s="100"/>
      <c r="I61" s="100"/>
      <c r="J61" s="102"/>
      <c r="K61" s="103"/>
      <c r="L61" s="104">
        <f t="shared" si="0"/>
        <v>0</v>
      </c>
      <c r="M61" s="104"/>
      <c r="N61" s="104"/>
      <c r="O61" s="105">
        <f t="shared" si="1"/>
        <v>0</v>
      </c>
      <c r="P61" s="106">
        <f t="shared" si="2"/>
        <v>0</v>
      </c>
    </row>
    <row r="62" spans="1:16" ht="16" x14ac:dyDescent="0.35">
      <c r="A62" s="100">
        <v>58</v>
      </c>
      <c r="B62" s="101"/>
      <c r="C62" s="101"/>
      <c r="D62" s="101"/>
      <c r="E62" s="101"/>
      <c r="F62" s="100"/>
      <c r="G62" s="100"/>
      <c r="H62" s="100"/>
      <c r="I62" s="100"/>
      <c r="J62" s="102"/>
      <c r="K62" s="103"/>
      <c r="L62" s="104">
        <f t="shared" si="0"/>
        <v>0</v>
      </c>
      <c r="M62" s="104"/>
      <c r="N62" s="104"/>
      <c r="O62" s="105">
        <f t="shared" si="1"/>
        <v>0</v>
      </c>
      <c r="P62" s="106">
        <f t="shared" si="2"/>
        <v>0</v>
      </c>
    </row>
    <row r="63" spans="1:16" ht="16" x14ac:dyDescent="0.35">
      <c r="A63" s="100">
        <v>59</v>
      </c>
      <c r="B63" s="101"/>
      <c r="C63" s="101"/>
      <c r="D63" s="101"/>
      <c r="E63" s="101"/>
      <c r="F63" s="100"/>
      <c r="G63" s="100"/>
      <c r="H63" s="100"/>
      <c r="I63" s="100"/>
      <c r="J63" s="102"/>
      <c r="K63" s="103"/>
      <c r="L63" s="104">
        <f t="shared" si="0"/>
        <v>0</v>
      </c>
      <c r="M63" s="104"/>
      <c r="N63" s="104"/>
      <c r="O63" s="105">
        <f t="shared" si="1"/>
        <v>0</v>
      </c>
      <c r="P63" s="106">
        <f t="shared" si="2"/>
        <v>0</v>
      </c>
    </row>
    <row r="64" spans="1:16" ht="16" x14ac:dyDescent="0.35">
      <c r="A64" s="100">
        <v>60</v>
      </c>
      <c r="B64" s="101"/>
      <c r="C64" s="101"/>
      <c r="D64" s="101"/>
      <c r="E64" s="101"/>
      <c r="F64" s="100"/>
      <c r="G64" s="100"/>
      <c r="H64" s="100"/>
      <c r="I64" s="100"/>
      <c r="J64" s="102"/>
      <c r="K64" s="103"/>
      <c r="L64" s="104">
        <f t="shared" si="0"/>
        <v>0</v>
      </c>
      <c r="M64" s="104"/>
      <c r="N64" s="104"/>
      <c r="O64" s="105">
        <f t="shared" si="1"/>
        <v>0</v>
      </c>
      <c r="P64" s="106">
        <f t="shared" si="2"/>
        <v>0</v>
      </c>
    </row>
    <row r="65" spans="1:16" ht="16" x14ac:dyDescent="0.35">
      <c r="A65" s="100">
        <v>61</v>
      </c>
      <c r="B65" s="101"/>
      <c r="C65" s="101"/>
      <c r="D65" s="101"/>
      <c r="E65" s="101"/>
      <c r="F65" s="100"/>
      <c r="G65" s="100"/>
      <c r="H65" s="100"/>
      <c r="I65" s="100"/>
      <c r="J65" s="102"/>
      <c r="K65" s="103"/>
      <c r="L65" s="104">
        <f t="shared" si="0"/>
        <v>0</v>
      </c>
      <c r="M65" s="104"/>
      <c r="N65" s="104"/>
      <c r="O65" s="105">
        <f t="shared" si="1"/>
        <v>0</v>
      </c>
      <c r="P65" s="106">
        <f t="shared" si="2"/>
        <v>0</v>
      </c>
    </row>
    <row r="66" spans="1:16" ht="16" x14ac:dyDescent="0.35">
      <c r="A66" s="100">
        <v>62</v>
      </c>
      <c r="B66" s="101"/>
      <c r="C66" s="101"/>
      <c r="D66" s="101"/>
      <c r="E66" s="101"/>
      <c r="F66" s="100"/>
      <c r="G66" s="100"/>
      <c r="H66" s="100"/>
      <c r="I66" s="100"/>
      <c r="J66" s="102"/>
      <c r="K66" s="103"/>
      <c r="L66" s="104">
        <f t="shared" si="0"/>
        <v>0</v>
      </c>
      <c r="M66" s="104"/>
      <c r="N66" s="104"/>
      <c r="O66" s="105">
        <f t="shared" si="1"/>
        <v>0</v>
      </c>
      <c r="P66" s="106">
        <f t="shared" si="2"/>
        <v>0</v>
      </c>
    </row>
    <row r="67" spans="1:16" ht="16" x14ac:dyDescent="0.35">
      <c r="A67" s="100">
        <v>63</v>
      </c>
      <c r="B67" s="101"/>
      <c r="C67" s="101"/>
      <c r="D67" s="101"/>
      <c r="E67" s="101"/>
      <c r="F67" s="100"/>
      <c r="G67" s="100"/>
      <c r="H67" s="100"/>
      <c r="I67" s="100"/>
      <c r="J67" s="102"/>
      <c r="K67" s="103"/>
      <c r="L67" s="104">
        <f t="shared" si="0"/>
        <v>0</v>
      </c>
      <c r="M67" s="104"/>
      <c r="N67" s="104"/>
      <c r="O67" s="105">
        <f t="shared" si="1"/>
        <v>0</v>
      </c>
      <c r="P67" s="106">
        <f t="shared" si="2"/>
        <v>0</v>
      </c>
    </row>
    <row r="68" spans="1:16" ht="16" x14ac:dyDescent="0.35">
      <c r="A68" s="100">
        <v>64</v>
      </c>
      <c r="B68" s="101"/>
      <c r="C68" s="101"/>
      <c r="D68" s="101"/>
      <c r="E68" s="101"/>
      <c r="F68" s="100"/>
      <c r="G68" s="100"/>
      <c r="H68" s="100"/>
      <c r="I68" s="100"/>
      <c r="J68" s="102"/>
      <c r="K68" s="103"/>
      <c r="L68" s="104">
        <f t="shared" si="0"/>
        <v>0</v>
      </c>
      <c r="M68" s="104"/>
      <c r="N68" s="104"/>
      <c r="O68" s="105">
        <f t="shared" si="1"/>
        <v>0</v>
      </c>
      <c r="P68" s="106">
        <f t="shared" si="2"/>
        <v>0</v>
      </c>
    </row>
    <row r="69" spans="1:16" ht="16" x14ac:dyDescent="0.35">
      <c r="A69" s="100">
        <v>65</v>
      </c>
      <c r="B69" s="101"/>
      <c r="C69" s="101"/>
      <c r="D69" s="101"/>
      <c r="E69" s="101"/>
      <c r="F69" s="100"/>
      <c r="G69" s="100"/>
      <c r="H69" s="100"/>
      <c r="I69" s="100"/>
      <c r="J69" s="102"/>
      <c r="K69" s="103"/>
      <c r="L69" s="104">
        <f t="shared" ref="L69:L203" si="3">K69*12</f>
        <v>0</v>
      </c>
      <c r="M69" s="104"/>
      <c r="N69" s="104"/>
      <c r="O69" s="105">
        <f t="shared" si="1"/>
        <v>0</v>
      </c>
      <c r="P69" s="106">
        <f t="shared" si="2"/>
        <v>0</v>
      </c>
    </row>
    <row r="70" spans="1:16" ht="16" x14ac:dyDescent="0.35">
      <c r="A70" s="100">
        <v>66</v>
      </c>
      <c r="B70" s="101"/>
      <c r="C70" s="101"/>
      <c r="D70" s="101"/>
      <c r="E70" s="101"/>
      <c r="F70" s="100"/>
      <c r="G70" s="100"/>
      <c r="H70" s="100"/>
      <c r="I70" s="100"/>
      <c r="J70" s="102"/>
      <c r="K70" s="103"/>
      <c r="L70" s="104">
        <f t="shared" si="3"/>
        <v>0</v>
      </c>
      <c r="M70" s="104"/>
      <c r="N70" s="104"/>
      <c r="O70" s="105">
        <f t="shared" ref="O70:O133" si="4">M70+(N70/12)</f>
        <v>0</v>
      </c>
      <c r="P70" s="106">
        <f t="shared" ref="P70:P133" si="5">3.14159*K70*O70</f>
        <v>0</v>
      </c>
    </row>
    <row r="71" spans="1:16" ht="16" x14ac:dyDescent="0.35">
      <c r="A71" s="100">
        <v>67</v>
      </c>
      <c r="B71" s="101"/>
      <c r="C71" s="101"/>
      <c r="D71" s="101"/>
      <c r="E71" s="101"/>
      <c r="F71" s="100"/>
      <c r="G71" s="100"/>
      <c r="H71" s="100"/>
      <c r="I71" s="100"/>
      <c r="J71" s="102"/>
      <c r="K71" s="103"/>
      <c r="L71" s="104">
        <f t="shared" si="3"/>
        <v>0</v>
      </c>
      <c r="M71" s="104"/>
      <c r="N71" s="104"/>
      <c r="O71" s="105">
        <f t="shared" si="4"/>
        <v>0</v>
      </c>
      <c r="P71" s="106">
        <f t="shared" si="5"/>
        <v>0</v>
      </c>
    </row>
    <row r="72" spans="1:16" ht="16" x14ac:dyDescent="0.35">
      <c r="A72" s="100">
        <v>68</v>
      </c>
      <c r="B72" s="101"/>
      <c r="C72" s="101"/>
      <c r="D72" s="101"/>
      <c r="E72" s="101"/>
      <c r="F72" s="100"/>
      <c r="G72" s="100"/>
      <c r="H72" s="100"/>
      <c r="I72" s="100"/>
      <c r="J72" s="102"/>
      <c r="K72" s="103"/>
      <c r="L72" s="104">
        <f t="shared" si="3"/>
        <v>0</v>
      </c>
      <c r="M72" s="104"/>
      <c r="N72" s="104"/>
      <c r="O72" s="105">
        <f t="shared" si="4"/>
        <v>0</v>
      </c>
      <c r="P72" s="106">
        <f t="shared" si="5"/>
        <v>0</v>
      </c>
    </row>
    <row r="73" spans="1:16" ht="16" x14ac:dyDescent="0.35">
      <c r="A73" s="100">
        <v>69</v>
      </c>
      <c r="B73" s="101"/>
      <c r="C73" s="101"/>
      <c r="D73" s="101"/>
      <c r="E73" s="101"/>
      <c r="F73" s="100"/>
      <c r="G73" s="100"/>
      <c r="H73" s="100"/>
      <c r="I73" s="100"/>
      <c r="J73" s="102"/>
      <c r="K73" s="103"/>
      <c r="L73" s="104">
        <f t="shared" si="3"/>
        <v>0</v>
      </c>
      <c r="M73" s="104"/>
      <c r="N73" s="104"/>
      <c r="O73" s="105">
        <f t="shared" si="4"/>
        <v>0</v>
      </c>
      <c r="P73" s="106">
        <f t="shared" si="5"/>
        <v>0</v>
      </c>
    </row>
    <row r="74" spans="1:16" ht="16" x14ac:dyDescent="0.35">
      <c r="A74" s="100">
        <v>70</v>
      </c>
      <c r="B74" s="101"/>
      <c r="C74" s="101"/>
      <c r="D74" s="101"/>
      <c r="E74" s="101"/>
      <c r="F74" s="100"/>
      <c r="G74" s="100"/>
      <c r="H74" s="100"/>
      <c r="I74" s="100"/>
      <c r="J74" s="102"/>
      <c r="K74" s="103"/>
      <c r="L74" s="104">
        <f t="shared" si="3"/>
        <v>0</v>
      </c>
      <c r="M74" s="104"/>
      <c r="N74" s="104"/>
      <c r="O74" s="105">
        <f t="shared" si="4"/>
        <v>0</v>
      </c>
      <c r="P74" s="106">
        <f t="shared" si="5"/>
        <v>0</v>
      </c>
    </row>
    <row r="75" spans="1:16" ht="16" x14ac:dyDescent="0.35">
      <c r="A75" s="100">
        <v>71</v>
      </c>
      <c r="B75" s="101"/>
      <c r="C75" s="101"/>
      <c r="D75" s="101"/>
      <c r="E75" s="101"/>
      <c r="F75" s="100"/>
      <c r="G75" s="100"/>
      <c r="H75" s="100"/>
      <c r="I75" s="100"/>
      <c r="J75" s="102"/>
      <c r="K75" s="103"/>
      <c r="L75" s="104">
        <f t="shared" si="3"/>
        <v>0</v>
      </c>
      <c r="M75" s="104"/>
      <c r="N75" s="104"/>
      <c r="O75" s="105">
        <f t="shared" si="4"/>
        <v>0</v>
      </c>
      <c r="P75" s="106">
        <f t="shared" si="5"/>
        <v>0</v>
      </c>
    </row>
    <row r="76" spans="1:16" ht="16" x14ac:dyDescent="0.35">
      <c r="A76" s="100">
        <v>72</v>
      </c>
      <c r="B76" s="101"/>
      <c r="C76" s="101"/>
      <c r="D76" s="101"/>
      <c r="E76" s="101"/>
      <c r="F76" s="100"/>
      <c r="G76" s="100"/>
      <c r="H76" s="100"/>
      <c r="I76" s="100"/>
      <c r="J76" s="102"/>
      <c r="K76" s="103"/>
      <c r="L76" s="104">
        <f t="shared" si="3"/>
        <v>0</v>
      </c>
      <c r="M76" s="104"/>
      <c r="N76" s="104"/>
      <c r="O76" s="105">
        <f t="shared" si="4"/>
        <v>0</v>
      </c>
      <c r="P76" s="106">
        <f t="shared" si="5"/>
        <v>0</v>
      </c>
    </row>
    <row r="77" spans="1:16" ht="16" x14ac:dyDescent="0.35">
      <c r="A77" s="100">
        <v>73</v>
      </c>
      <c r="B77" s="101"/>
      <c r="C77" s="101"/>
      <c r="D77" s="101"/>
      <c r="E77" s="101"/>
      <c r="F77" s="100"/>
      <c r="G77" s="100"/>
      <c r="H77" s="100"/>
      <c r="I77" s="100"/>
      <c r="J77" s="102"/>
      <c r="K77" s="103"/>
      <c r="L77" s="104">
        <f t="shared" si="3"/>
        <v>0</v>
      </c>
      <c r="M77" s="104"/>
      <c r="N77" s="104"/>
      <c r="O77" s="105">
        <f t="shared" si="4"/>
        <v>0</v>
      </c>
      <c r="P77" s="106">
        <f t="shared" si="5"/>
        <v>0</v>
      </c>
    </row>
    <row r="78" spans="1:16" ht="16" x14ac:dyDescent="0.35">
      <c r="A78" s="100">
        <v>74</v>
      </c>
      <c r="B78" s="101"/>
      <c r="C78" s="101"/>
      <c r="D78" s="101"/>
      <c r="E78" s="101"/>
      <c r="F78" s="100"/>
      <c r="G78" s="100"/>
      <c r="H78" s="100"/>
      <c r="I78" s="100"/>
      <c r="J78" s="102"/>
      <c r="K78" s="103"/>
      <c r="L78" s="104">
        <f t="shared" si="3"/>
        <v>0</v>
      </c>
      <c r="M78" s="104"/>
      <c r="N78" s="104"/>
      <c r="O78" s="105">
        <f t="shared" si="4"/>
        <v>0</v>
      </c>
      <c r="P78" s="106">
        <f t="shared" si="5"/>
        <v>0</v>
      </c>
    </row>
    <row r="79" spans="1:16" ht="16" x14ac:dyDescent="0.35">
      <c r="A79" s="100">
        <v>75</v>
      </c>
      <c r="B79" s="101"/>
      <c r="C79" s="101"/>
      <c r="D79" s="101"/>
      <c r="E79" s="101"/>
      <c r="F79" s="100"/>
      <c r="G79" s="100"/>
      <c r="H79" s="100"/>
      <c r="I79" s="100"/>
      <c r="J79" s="102"/>
      <c r="K79" s="103"/>
      <c r="L79" s="104">
        <f t="shared" si="3"/>
        <v>0</v>
      </c>
      <c r="M79" s="104"/>
      <c r="N79" s="104"/>
      <c r="O79" s="105">
        <f t="shared" si="4"/>
        <v>0</v>
      </c>
      <c r="P79" s="106">
        <f t="shared" si="5"/>
        <v>0</v>
      </c>
    </row>
    <row r="80" spans="1:16" ht="16" x14ac:dyDescent="0.35">
      <c r="A80" s="100">
        <v>76</v>
      </c>
      <c r="B80" s="101"/>
      <c r="C80" s="101"/>
      <c r="D80" s="101"/>
      <c r="E80" s="101"/>
      <c r="F80" s="100"/>
      <c r="G80" s="100"/>
      <c r="H80" s="100"/>
      <c r="I80" s="100"/>
      <c r="J80" s="102"/>
      <c r="K80" s="103"/>
      <c r="L80" s="104">
        <f t="shared" si="3"/>
        <v>0</v>
      </c>
      <c r="M80" s="104"/>
      <c r="N80" s="104"/>
      <c r="O80" s="105">
        <f t="shared" si="4"/>
        <v>0</v>
      </c>
      <c r="P80" s="106">
        <f t="shared" si="5"/>
        <v>0</v>
      </c>
    </row>
    <row r="81" spans="1:16" ht="16" x14ac:dyDescent="0.35">
      <c r="A81" s="100">
        <v>77</v>
      </c>
      <c r="B81" s="101"/>
      <c r="C81" s="101"/>
      <c r="D81" s="101"/>
      <c r="E81" s="101"/>
      <c r="F81" s="100"/>
      <c r="G81" s="100"/>
      <c r="H81" s="100"/>
      <c r="I81" s="100"/>
      <c r="J81" s="102"/>
      <c r="K81" s="103"/>
      <c r="L81" s="104">
        <f t="shared" si="3"/>
        <v>0</v>
      </c>
      <c r="M81" s="104"/>
      <c r="N81" s="104"/>
      <c r="O81" s="105">
        <f t="shared" si="4"/>
        <v>0</v>
      </c>
      <c r="P81" s="106">
        <f t="shared" si="5"/>
        <v>0</v>
      </c>
    </row>
    <row r="82" spans="1:16" ht="16" x14ac:dyDescent="0.35">
      <c r="A82" s="100">
        <v>78</v>
      </c>
      <c r="B82" s="101"/>
      <c r="C82" s="101"/>
      <c r="D82" s="101"/>
      <c r="E82" s="101"/>
      <c r="F82" s="100"/>
      <c r="G82" s="100"/>
      <c r="H82" s="100"/>
      <c r="I82" s="100"/>
      <c r="J82" s="102"/>
      <c r="K82" s="103"/>
      <c r="L82" s="104">
        <f t="shared" si="3"/>
        <v>0</v>
      </c>
      <c r="M82" s="104"/>
      <c r="N82" s="104"/>
      <c r="O82" s="105">
        <f t="shared" si="4"/>
        <v>0</v>
      </c>
      <c r="P82" s="106">
        <f t="shared" si="5"/>
        <v>0</v>
      </c>
    </row>
    <row r="83" spans="1:16" ht="16" x14ac:dyDescent="0.35">
      <c r="A83" s="100">
        <v>79</v>
      </c>
      <c r="B83" s="101"/>
      <c r="C83" s="101"/>
      <c r="D83" s="101"/>
      <c r="E83" s="101"/>
      <c r="F83" s="100"/>
      <c r="G83" s="100"/>
      <c r="H83" s="100"/>
      <c r="I83" s="100"/>
      <c r="J83" s="102"/>
      <c r="K83" s="103"/>
      <c r="L83" s="104">
        <f t="shared" si="3"/>
        <v>0</v>
      </c>
      <c r="M83" s="104"/>
      <c r="N83" s="104"/>
      <c r="O83" s="105">
        <f t="shared" si="4"/>
        <v>0</v>
      </c>
      <c r="P83" s="106">
        <f t="shared" si="5"/>
        <v>0</v>
      </c>
    </row>
    <row r="84" spans="1:16" ht="16" x14ac:dyDescent="0.35">
      <c r="A84" s="100">
        <v>80</v>
      </c>
      <c r="B84" s="101"/>
      <c r="C84" s="101"/>
      <c r="D84" s="101"/>
      <c r="E84" s="101"/>
      <c r="F84" s="100"/>
      <c r="G84" s="100"/>
      <c r="H84" s="100"/>
      <c r="I84" s="100"/>
      <c r="J84" s="102"/>
      <c r="K84" s="103"/>
      <c r="L84" s="104">
        <f t="shared" si="3"/>
        <v>0</v>
      </c>
      <c r="M84" s="104"/>
      <c r="N84" s="104"/>
      <c r="O84" s="105">
        <f t="shared" si="4"/>
        <v>0</v>
      </c>
      <c r="P84" s="106">
        <f t="shared" si="5"/>
        <v>0</v>
      </c>
    </row>
    <row r="85" spans="1:16" ht="16" x14ac:dyDescent="0.35">
      <c r="A85" s="100">
        <v>81</v>
      </c>
      <c r="B85" s="101"/>
      <c r="C85" s="101"/>
      <c r="D85" s="101"/>
      <c r="E85" s="101"/>
      <c r="F85" s="100"/>
      <c r="G85" s="100"/>
      <c r="H85" s="100"/>
      <c r="I85" s="100"/>
      <c r="J85" s="102"/>
      <c r="K85" s="103"/>
      <c r="L85" s="104">
        <f t="shared" si="3"/>
        <v>0</v>
      </c>
      <c r="M85" s="104"/>
      <c r="N85" s="104"/>
      <c r="O85" s="105">
        <f t="shared" si="4"/>
        <v>0</v>
      </c>
      <c r="P85" s="106">
        <f t="shared" si="5"/>
        <v>0</v>
      </c>
    </row>
    <row r="86" spans="1:16" ht="16" x14ac:dyDescent="0.35">
      <c r="A86" s="100">
        <v>82</v>
      </c>
      <c r="B86" s="101"/>
      <c r="C86" s="101"/>
      <c r="D86" s="101"/>
      <c r="E86" s="101"/>
      <c r="F86" s="100"/>
      <c r="G86" s="100"/>
      <c r="H86" s="100"/>
      <c r="I86" s="100"/>
      <c r="J86" s="102"/>
      <c r="K86" s="103"/>
      <c r="L86" s="104">
        <f t="shared" si="3"/>
        <v>0</v>
      </c>
      <c r="M86" s="104"/>
      <c r="N86" s="104"/>
      <c r="O86" s="105">
        <f t="shared" si="4"/>
        <v>0</v>
      </c>
      <c r="P86" s="106">
        <f t="shared" si="5"/>
        <v>0</v>
      </c>
    </row>
    <row r="87" spans="1:16" ht="16" x14ac:dyDescent="0.35">
      <c r="A87" s="100">
        <v>83</v>
      </c>
      <c r="B87" s="101"/>
      <c r="C87" s="101"/>
      <c r="D87" s="101"/>
      <c r="E87" s="101"/>
      <c r="F87" s="100"/>
      <c r="G87" s="100"/>
      <c r="H87" s="100"/>
      <c r="I87" s="100"/>
      <c r="J87" s="102"/>
      <c r="K87" s="103"/>
      <c r="L87" s="104">
        <f t="shared" si="3"/>
        <v>0</v>
      </c>
      <c r="M87" s="104"/>
      <c r="N87" s="104"/>
      <c r="O87" s="105">
        <f t="shared" si="4"/>
        <v>0</v>
      </c>
      <c r="P87" s="106">
        <f t="shared" si="5"/>
        <v>0</v>
      </c>
    </row>
    <row r="88" spans="1:16" ht="16" x14ac:dyDescent="0.35">
      <c r="A88" s="100">
        <v>84</v>
      </c>
      <c r="B88" s="101"/>
      <c r="C88" s="101"/>
      <c r="D88" s="101"/>
      <c r="E88" s="101"/>
      <c r="F88" s="100"/>
      <c r="G88" s="100"/>
      <c r="H88" s="100"/>
      <c r="I88" s="100"/>
      <c r="J88" s="102"/>
      <c r="K88" s="103"/>
      <c r="L88" s="104">
        <f t="shared" si="3"/>
        <v>0</v>
      </c>
      <c r="M88" s="104"/>
      <c r="N88" s="104"/>
      <c r="O88" s="105">
        <f t="shared" si="4"/>
        <v>0</v>
      </c>
      <c r="P88" s="106">
        <f t="shared" si="5"/>
        <v>0</v>
      </c>
    </row>
    <row r="89" spans="1:16" ht="16" x14ac:dyDescent="0.35">
      <c r="A89" s="100">
        <v>85</v>
      </c>
      <c r="B89" s="101"/>
      <c r="C89" s="101"/>
      <c r="D89" s="101"/>
      <c r="E89" s="101"/>
      <c r="F89" s="100"/>
      <c r="G89" s="100"/>
      <c r="H89" s="100"/>
      <c r="I89" s="100"/>
      <c r="J89" s="102"/>
      <c r="K89" s="103"/>
      <c r="L89" s="104">
        <f t="shared" si="3"/>
        <v>0</v>
      </c>
      <c r="M89" s="104"/>
      <c r="N89" s="104"/>
      <c r="O89" s="105">
        <f t="shared" si="4"/>
        <v>0</v>
      </c>
      <c r="P89" s="106">
        <f t="shared" si="5"/>
        <v>0</v>
      </c>
    </row>
    <row r="90" spans="1:16" ht="16" x14ac:dyDescent="0.35">
      <c r="A90" s="100">
        <v>86</v>
      </c>
      <c r="B90" s="101"/>
      <c r="C90" s="101"/>
      <c r="D90" s="101"/>
      <c r="E90" s="101"/>
      <c r="F90" s="100"/>
      <c r="G90" s="100"/>
      <c r="H90" s="100"/>
      <c r="I90" s="100"/>
      <c r="J90" s="102"/>
      <c r="K90" s="103"/>
      <c r="L90" s="104">
        <f t="shared" si="3"/>
        <v>0</v>
      </c>
      <c r="M90" s="104"/>
      <c r="N90" s="104"/>
      <c r="O90" s="105">
        <f t="shared" si="4"/>
        <v>0</v>
      </c>
      <c r="P90" s="106">
        <f t="shared" si="5"/>
        <v>0</v>
      </c>
    </row>
    <row r="91" spans="1:16" ht="16" x14ac:dyDescent="0.35">
      <c r="A91" s="100">
        <v>87</v>
      </c>
      <c r="B91" s="101"/>
      <c r="C91" s="101"/>
      <c r="D91" s="101"/>
      <c r="E91" s="101"/>
      <c r="F91" s="100"/>
      <c r="G91" s="100"/>
      <c r="H91" s="100"/>
      <c r="I91" s="100"/>
      <c r="J91" s="102"/>
      <c r="K91" s="103"/>
      <c r="L91" s="104">
        <f t="shared" si="3"/>
        <v>0</v>
      </c>
      <c r="M91" s="104"/>
      <c r="N91" s="104"/>
      <c r="O91" s="105">
        <f t="shared" si="4"/>
        <v>0</v>
      </c>
      <c r="P91" s="106">
        <f t="shared" si="5"/>
        <v>0</v>
      </c>
    </row>
    <row r="92" spans="1:16" ht="16" x14ac:dyDescent="0.35">
      <c r="A92" s="100">
        <v>88</v>
      </c>
      <c r="B92" s="101"/>
      <c r="C92" s="101"/>
      <c r="D92" s="101"/>
      <c r="E92" s="101"/>
      <c r="F92" s="100"/>
      <c r="G92" s="100"/>
      <c r="H92" s="100"/>
      <c r="I92" s="100"/>
      <c r="J92" s="102"/>
      <c r="K92" s="103"/>
      <c r="L92" s="104">
        <f t="shared" si="3"/>
        <v>0</v>
      </c>
      <c r="M92" s="104"/>
      <c r="N92" s="104"/>
      <c r="O92" s="105">
        <f t="shared" si="4"/>
        <v>0</v>
      </c>
      <c r="P92" s="106">
        <f t="shared" si="5"/>
        <v>0</v>
      </c>
    </row>
    <row r="93" spans="1:16" ht="16" x14ac:dyDescent="0.35">
      <c r="A93" s="100">
        <v>89</v>
      </c>
      <c r="B93" s="101"/>
      <c r="C93" s="101"/>
      <c r="D93" s="101"/>
      <c r="E93" s="101"/>
      <c r="F93" s="100"/>
      <c r="G93" s="100"/>
      <c r="H93" s="100"/>
      <c r="I93" s="100"/>
      <c r="J93" s="102"/>
      <c r="K93" s="103"/>
      <c r="L93" s="104">
        <f t="shared" si="3"/>
        <v>0</v>
      </c>
      <c r="M93" s="104"/>
      <c r="N93" s="104"/>
      <c r="O93" s="105">
        <f t="shared" si="4"/>
        <v>0</v>
      </c>
      <c r="P93" s="106">
        <f t="shared" si="5"/>
        <v>0</v>
      </c>
    </row>
    <row r="94" spans="1:16" ht="16" x14ac:dyDescent="0.35">
      <c r="A94" s="100">
        <v>90</v>
      </c>
      <c r="B94" s="101"/>
      <c r="C94" s="101"/>
      <c r="D94" s="101"/>
      <c r="E94" s="101"/>
      <c r="F94" s="100"/>
      <c r="G94" s="100"/>
      <c r="H94" s="100"/>
      <c r="I94" s="100"/>
      <c r="J94" s="102"/>
      <c r="K94" s="103"/>
      <c r="L94" s="104">
        <f t="shared" si="3"/>
        <v>0</v>
      </c>
      <c r="M94" s="104"/>
      <c r="N94" s="104"/>
      <c r="O94" s="105">
        <f t="shared" si="4"/>
        <v>0</v>
      </c>
      <c r="P94" s="106">
        <f t="shared" si="5"/>
        <v>0</v>
      </c>
    </row>
    <row r="95" spans="1:16" ht="16" x14ac:dyDescent="0.35">
      <c r="A95" s="100">
        <v>91</v>
      </c>
      <c r="B95" s="101"/>
      <c r="C95" s="101"/>
      <c r="D95" s="101"/>
      <c r="E95" s="101"/>
      <c r="F95" s="100"/>
      <c r="G95" s="100"/>
      <c r="H95" s="100"/>
      <c r="I95" s="100"/>
      <c r="J95" s="102"/>
      <c r="K95" s="103"/>
      <c r="L95" s="104">
        <f t="shared" si="3"/>
        <v>0</v>
      </c>
      <c r="M95" s="104"/>
      <c r="N95" s="104"/>
      <c r="O95" s="105">
        <f t="shared" si="4"/>
        <v>0</v>
      </c>
      <c r="P95" s="106">
        <f t="shared" si="5"/>
        <v>0</v>
      </c>
    </row>
    <row r="96" spans="1:16" ht="16" x14ac:dyDescent="0.35">
      <c r="A96" s="100">
        <v>92</v>
      </c>
      <c r="B96" s="101"/>
      <c r="C96" s="101"/>
      <c r="D96" s="101"/>
      <c r="E96" s="101"/>
      <c r="F96" s="100"/>
      <c r="G96" s="100"/>
      <c r="H96" s="100"/>
      <c r="I96" s="100"/>
      <c r="J96" s="102"/>
      <c r="K96" s="103"/>
      <c r="L96" s="104">
        <f t="shared" si="3"/>
        <v>0</v>
      </c>
      <c r="M96" s="104"/>
      <c r="N96" s="104"/>
      <c r="O96" s="105">
        <f t="shared" si="4"/>
        <v>0</v>
      </c>
      <c r="P96" s="106">
        <f t="shared" si="5"/>
        <v>0</v>
      </c>
    </row>
    <row r="97" spans="1:16" ht="16" x14ac:dyDescent="0.35">
      <c r="A97" s="100">
        <v>93</v>
      </c>
      <c r="B97" s="101"/>
      <c r="C97" s="101"/>
      <c r="D97" s="101"/>
      <c r="E97" s="101"/>
      <c r="F97" s="100"/>
      <c r="G97" s="100"/>
      <c r="H97" s="100"/>
      <c r="I97" s="100"/>
      <c r="J97" s="102"/>
      <c r="K97" s="103"/>
      <c r="L97" s="104">
        <f t="shared" si="3"/>
        <v>0</v>
      </c>
      <c r="M97" s="104"/>
      <c r="N97" s="104"/>
      <c r="O97" s="105">
        <f t="shared" si="4"/>
        <v>0</v>
      </c>
      <c r="P97" s="106">
        <f t="shared" si="5"/>
        <v>0</v>
      </c>
    </row>
    <row r="98" spans="1:16" ht="16" x14ac:dyDescent="0.35">
      <c r="A98" s="100">
        <v>94</v>
      </c>
      <c r="B98" s="101"/>
      <c r="C98" s="101"/>
      <c r="D98" s="101"/>
      <c r="E98" s="101"/>
      <c r="F98" s="100"/>
      <c r="G98" s="100"/>
      <c r="H98" s="100"/>
      <c r="I98" s="100"/>
      <c r="J98" s="102"/>
      <c r="K98" s="103"/>
      <c r="L98" s="104">
        <f t="shared" si="3"/>
        <v>0</v>
      </c>
      <c r="M98" s="104"/>
      <c r="N98" s="104"/>
      <c r="O98" s="105">
        <f t="shared" si="4"/>
        <v>0</v>
      </c>
      <c r="P98" s="106">
        <f t="shared" si="5"/>
        <v>0</v>
      </c>
    </row>
    <row r="99" spans="1:16" ht="16" x14ac:dyDescent="0.35">
      <c r="A99" s="100">
        <v>95</v>
      </c>
      <c r="B99" s="101"/>
      <c r="C99" s="101"/>
      <c r="D99" s="101"/>
      <c r="E99" s="101"/>
      <c r="F99" s="100"/>
      <c r="G99" s="100"/>
      <c r="H99" s="100"/>
      <c r="I99" s="100"/>
      <c r="J99" s="102"/>
      <c r="K99" s="103"/>
      <c r="L99" s="104">
        <f t="shared" si="3"/>
        <v>0</v>
      </c>
      <c r="M99" s="104"/>
      <c r="N99" s="104"/>
      <c r="O99" s="105">
        <f t="shared" si="4"/>
        <v>0</v>
      </c>
      <c r="P99" s="106">
        <f t="shared" si="5"/>
        <v>0</v>
      </c>
    </row>
    <row r="100" spans="1:16" ht="16" x14ac:dyDescent="0.35">
      <c r="A100" s="100">
        <v>96</v>
      </c>
      <c r="B100" s="101"/>
      <c r="C100" s="101"/>
      <c r="D100" s="101"/>
      <c r="E100" s="101"/>
      <c r="F100" s="100"/>
      <c r="G100" s="100"/>
      <c r="H100" s="100"/>
      <c r="I100" s="100"/>
      <c r="J100" s="102"/>
      <c r="K100" s="103"/>
      <c r="L100" s="104">
        <f t="shared" si="3"/>
        <v>0</v>
      </c>
      <c r="M100" s="104"/>
      <c r="N100" s="104"/>
      <c r="O100" s="105">
        <f t="shared" si="4"/>
        <v>0</v>
      </c>
      <c r="P100" s="106">
        <f t="shared" si="5"/>
        <v>0</v>
      </c>
    </row>
    <row r="101" spans="1:16" ht="16" x14ac:dyDescent="0.35">
      <c r="A101" s="100">
        <v>97</v>
      </c>
      <c r="B101" s="101"/>
      <c r="C101" s="101"/>
      <c r="D101" s="101"/>
      <c r="E101" s="101"/>
      <c r="F101" s="100"/>
      <c r="G101" s="100"/>
      <c r="H101" s="100"/>
      <c r="I101" s="100"/>
      <c r="J101" s="102"/>
      <c r="K101" s="103"/>
      <c r="L101" s="104">
        <f t="shared" si="3"/>
        <v>0</v>
      </c>
      <c r="M101" s="104"/>
      <c r="N101" s="104"/>
      <c r="O101" s="105">
        <f t="shared" si="4"/>
        <v>0</v>
      </c>
      <c r="P101" s="106">
        <f t="shared" si="5"/>
        <v>0</v>
      </c>
    </row>
    <row r="102" spans="1:16" ht="16" x14ac:dyDescent="0.35">
      <c r="A102" s="100">
        <v>98</v>
      </c>
      <c r="B102" s="101"/>
      <c r="C102" s="101"/>
      <c r="D102" s="101"/>
      <c r="E102" s="101"/>
      <c r="F102" s="100"/>
      <c r="G102" s="100"/>
      <c r="H102" s="100"/>
      <c r="I102" s="100"/>
      <c r="J102" s="102"/>
      <c r="K102" s="103"/>
      <c r="L102" s="104">
        <f t="shared" si="3"/>
        <v>0</v>
      </c>
      <c r="M102" s="104"/>
      <c r="N102" s="104"/>
      <c r="O102" s="105">
        <f t="shared" si="4"/>
        <v>0</v>
      </c>
      <c r="P102" s="106">
        <f t="shared" si="5"/>
        <v>0</v>
      </c>
    </row>
    <row r="103" spans="1:16" ht="16" x14ac:dyDescent="0.35">
      <c r="A103" s="100">
        <v>99</v>
      </c>
      <c r="B103" s="101"/>
      <c r="C103" s="101"/>
      <c r="D103" s="101"/>
      <c r="E103" s="101"/>
      <c r="F103" s="100"/>
      <c r="G103" s="100"/>
      <c r="H103" s="100"/>
      <c r="I103" s="100"/>
      <c r="J103" s="102"/>
      <c r="K103" s="103"/>
      <c r="L103" s="104">
        <f t="shared" si="3"/>
        <v>0</v>
      </c>
      <c r="M103" s="104"/>
      <c r="N103" s="104"/>
      <c r="O103" s="105">
        <f t="shared" si="4"/>
        <v>0</v>
      </c>
      <c r="P103" s="106">
        <f t="shared" si="5"/>
        <v>0</v>
      </c>
    </row>
    <row r="104" spans="1:16" ht="16" x14ac:dyDescent="0.35">
      <c r="A104" s="100">
        <v>100</v>
      </c>
      <c r="B104" s="101"/>
      <c r="C104" s="101"/>
      <c r="D104" s="101"/>
      <c r="E104" s="101"/>
      <c r="F104" s="100"/>
      <c r="G104" s="100"/>
      <c r="H104" s="100"/>
      <c r="I104" s="100"/>
      <c r="J104" s="102"/>
      <c r="K104" s="103"/>
      <c r="L104" s="104">
        <f t="shared" si="3"/>
        <v>0</v>
      </c>
      <c r="M104" s="104"/>
      <c r="N104" s="104"/>
      <c r="O104" s="105">
        <f t="shared" si="4"/>
        <v>0</v>
      </c>
      <c r="P104" s="106">
        <f t="shared" si="5"/>
        <v>0</v>
      </c>
    </row>
    <row r="105" spans="1:16" ht="16" x14ac:dyDescent="0.35">
      <c r="A105" s="100">
        <v>101</v>
      </c>
      <c r="B105" s="101"/>
      <c r="C105" s="101"/>
      <c r="D105" s="101"/>
      <c r="E105" s="101"/>
      <c r="F105" s="100"/>
      <c r="G105" s="100"/>
      <c r="H105" s="100"/>
      <c r="I105" s="100"/>
      <c r="J105" s="102"/>
      <c r="K105" s="103"/>
      <c r="L105" s="104">
        <f t="shared" si="3"/>
        <v>0</v>
      </c>
      <c r="M105" s="104"/>
      <c r="N105" s="104"/>
      <c r="O105" s="105">
        <f t="shared" si="4"/>
        <v>0</v>
      </c>
      <c r="P105" s="106">
        <f t="shared" si="5"/>
        <v>0</v>
      </c>
    </row>
    <row r="106" spans="1:16" ht="16" x14ac:dyDescent="0.35">
      <c r="A106" s="100">
        <v>102</v>
      </c>
      <c r="B106" s="101"/>
      <c r="C106" s="101"/>
      <c r="D106" s="101"/>
      <c r="E106" s="101"/>
      <c r="F106" s="100"/>
      <c r="G106" s="100"/>
      <c r="H106" s="100"/>
      <c r="I106" s="100"/>
      <c r="J106" s="102"/>
      <c r="K106" s="103"/>
      <c r="L106" s="104">
        <f t="shared" si="3"/>
        <v>0</v>
      </c>
      <c r="M106" s="104"/>
      <c r="N106" s="104"/>
      <c r="O106" s="105">
        <f t="shared" si="4"/>
        <v>0</v>
      </c>
      <c r="P106" s="106">
        <f t="shared" si="5"/>
        <v>0</v>
      </c>
    </row>
    <row r="107" spans="1:16" ht="16" x14ac:dyDescent="0.35">
      <c r="A107" s="100">
        <v>103</v>
      </c>
      <c r="B107" s="101"/>
      <c r="C107" s="101"/>
      <c r="D107" s="101"/>
      <c r="E107" s="101"/>
      <c r="F107" s="100"/>
      <c r="G107" s="100"/>
      <c r="H107" s="100"/>
      <c r="I107" s="100"/>
      <c r="J107" s="102"/>
      <c r="K107" s="103"/>
      <c r="L107" s="104">
        <f t="shared" si="3"/>
        <v>0</v>
      </c>
      <c r="M107" s="104"/>
      <c r="N107" s="104"/>
      <c r="O107" s="105">
        <f t="shared" si="4"/>
        <v>0</v>
      </c>
      <c r="P107" s="106">
        <f t="shared" si="5"/>
        <v>0</v>
      </c>
    </row>
    <row r="108" spans="1:16" ht="16" x14ac:dyDescent="0.35">
      <c r="A108" s="100">
        <v>104</v>
      </c>
      <c r="B108" s="101"/>
      <c r="C108" s="101"/>
      <c r="D108" s="101"/>
      <c r="E108" s="101"/>
      <c r="F108" s="100"/>
      <c r="G108" s="100"/>
      <c r="H108" s="100"/>
      <c r="I108" s="100"/>
      <c r="J108" s="102"/>
      <c r="K108" s="103"/>
      <c r="L108" s="104">
        <f t="shared" si="3"/>
        <v>0</v>
      </c>
      <c r="M108" s="104"/>
      <c r="N108" s="104"/>
      <c r="O108" s="105">
        <f t="shared" si="4"/>
        <v>0</v>
      </c>
      <c r="P108" s="106">
        <f t="shared" si="5"/>
        <v>0</v>
      </c>
    </row>
    <row r="109" spans="1:16" ht="16" x14ac:dyDescent="0.35">
      <c r="A109" s="100">
        <v>105</v>
      </c>
      <c r="B109" s="101"/>
      <c r="C109" s="101"/>
      <c r="D109" s="101"/>
      <c r="E109" s="101"/>
      <c r="F109" s="100"/>
      <c r="G109" s="100"/>
      <c r="H109" s="100"/>
      <c r="I109" s="100"/>
      <c r="J109" s="102"/>
      <c r="K109" s="103"/>
      <c r="L109" s="104">
        <f t="shared" si="3"/>
        <v>0</v>
      </c>
      <c r="M109" s="104"/>
      <c r="N109" s="104"/>
      <c r="O109" s="105">
        <f t="shared" si="4"/>
        <v>0</v>
      </c>
      <c r="P109" s="106">
        <f t="shared" si="5"/>
        <v>0</v>
      </c>
    </row>
    <row r="110" spans="1:16" ht="16" x14ac:dyDescent="0.35">
      <c r="A110" s="100">
        <v>106</v>
      </c>
      <c r="B110" s="101"/>
      <c r="C110" s="101"/>
      <c r="D110" s="101"/>
      <c r="E110" s="101"/>
      <c r="F110" s="100"/>
      <c r="G110" s="100"/>
      <c r="H110" s="100"/>
      <c r="I110" s="100"/>
      <c r="J110" s="102"/>
      <c r="K110" s="103"/>
      <c r="L110" s="104">
        <f t="shared" si="3"/>
        <v>0</v>
      </c>
      <c r="M110" s="104"/>
      <c r="N110" s="104"/>
      <c r="O110" s="105">
        <f t="shared" si="4"/>
        <v>0</v>
      </c>
      <c r="P110" s="106">
        <f t="shared" si="5"/>
        <v>0</v>
      </c>
    </row>
    <row r="111" spans="1:16" ht="16" x14ac:dyDescent="0.35">
      <c r="A111" s="100">
        <v>107</v>
      </c>
      <c r="B111" s="101"/>
      <c r="C111" s="101"/>
      <c r="D111" s="101"/>
      <c r="E111" s="101"/>
      <c r="F111" s="100"/>
      <c r="G111" s="100"/>
      <c r="H111" s="100"/>
      <c r="I111" s="100"/>
      <c r="J111" s="102"/>
      <c r="K111" s="103"/>
      <c r="L111" s="104">
        <f t="shared" si="3"/>
        <v>0</v>
      </c>
      <c r="M111" s="104"/>
      <c r="N111" s="104"/>
      <c r="O111" s="105">
        <f t="shared" si="4"/>
        <v>0</v>
      </c>
      <c r="P111" s="106">
        <f t="shared" si="5"/>
        <v>0</v>
      </c>
    </row>
    <row r="112" spans="1:16" ht="16" x14ac:dyDescent="0.35">
      <c r="A112" s="100">
        <v>108</v>
      </c>
      <c r="B112" s="101"/>
      <c r="C112" s="101"/>
      <c r="D112" s="101"/>
      <c r="E112" s="101"/>
      <c r="F112" s="100"/>
      <c r="G112" s="100"/>
      <c r="H112" s="100"/>
      <c r="I112" s="100"/>
      <c r="J112" s="102"/>
      <c r="K112" s="103"/>
      <c r="L112" s="104">
        <f t="shared" si="3"/>
        <v>0</v>
      </c>
      <c r="M112" s="104"/>
      <c r="N112" s="104"/>
      <c r="O112" s="105">
        <f t="shared" si="4"/>
        <v>0</v>
      </c>
      <c r="P112" s="106">
        <f t="shared" si="5"/>
        <v>0</v>
      </c>
    </row>
    <row r="113" spans="1:16" ht="16" x14ac:dyDescent="0.35">
      <c r="A113" s="100">
        <v>109</v>
      </c>
      <c r="B113" s="101"/>
      <c r="C113" s="101"/>
      <c r="D113" s="101"/>
      <c r="E113" s="101"/>
      <c r="F113" s="100"/>
      <c r="G113" s="100"/>
      <c r="H113" s="100"/>
      <c r="I113" s="100"/>
      <c r="J113" s="102"/>
      <c r="K113" s="103"/>
      <c r="L113" s="104">
        <f t="shared" si="3"/>
        <v>0</v>
      </c>
      <c r="M113" s="104"/>
      <c r="N113" s="104"/>
      <c r="O113" s="105">
        <f t="shared" si="4"/>
        <v>0</v>
      </c>
      <c r="P113" s="106">
        <f t="shared" si="5"/>
        <v>0</v>
      </c>
    </row>
    <row r="114" spans="1:16" ht="16" x14ac:dyDescent="0.35">
      <c r="A114" s="100">
        <v>110</v>
      </c>
      <c r="B114" s="101"/>
      <c r="C114" s="101"/>
      <c r="D114" s="101"/>
      <c r="E114" s="101"/>
      <c r="F114" s="100"/>
      <c r="G114" s="100"/>
      <c r="H114" s="100"/>
      <c r="I114" s="100"/>
      <c r="J114" s="102"/>
      <c r="K114" s="103"/>
      <c r="L114" s="104">
        <f t="shared" si="3"/>
        <v>0</v>
      </c>
      <c r="M114" s="104"/>
      <c r="N114" s="104"/>
      <c r="O114" s="105">
        <f t="shared" si="4"/>
        <v>0</v>
      </c>
      <c r="P114" s="106">
        <f t="shared" si="5"/>
        <v>0</v>
      </c>
    </row>
    <row r="115" spans="1:16" ht="16" x14ac:dyDescent="0.35">
      <c r="A115" s="100">
        <v>111</v>
      </c>
      <c r="B115" s="101"/>
      <c r="C115" s="101"/>
      <c r="D115" s="101"/>
      <c r="E115" s="101"/>
      <c r="F115" s="100"/>
      <c r="G115" s="100"/>
      <c r="H115" s="100"/>
      <c r="I115" s="100"/>
      <c r="J115" s="102"/>
      <c r="K115" s="103"/>
      <c r="L115" s="104">
        <f t="shared" si="3"/>
        <v>0</v>
      </c>
      <c r="M115" s="104"/>
      <c r="N115" s="104"/>
      <c r="O115" s="105">
        <f t="shared" si="4"/>
        <v>0</v>
      </c>
      <c r="P115" s="106">
        <f t="shared" si="5"/>
        <v>0</v>
      </c>
    </row>
    <row r="116" spans="1:16" ht="16" x14ac:dyDescent="0.35">
      <c r="A116" s="100">
        <v>112</v>
      </c>
      <c r="B116" s="101"/>
      <c r="C116" s="101"/>
      <c r="D116" s="101"/>
      <c r="E116" s="101"/>
      <c r="F116" s="100"/>
      <c r="G116" s="100"/>
      <c r="H116" s="100"/>
      <c r="I116" s="100"/>
      <c r="J116" s="102"/>
      <c r="K116" s="103"/>
      <c r="L116" s="104">
        <f t="shared" si="3"/>
        <v>0</v>
      </c>
      <c r="M116" s="104"/>
      <c r="N116" s="104"/>
      <c r="O116" s="105">
        <f t="shared" si="4"/>
        <v>0</v>
      </c>
      <c r="P116" s="106">
        <f t="shared" si="5"/>
        <v>0</v>
      </c>
    </row>
    <row r="117" spans="1:16" ht="16" x14ac:dyDescent="0.35">
      <c r="A117" s="100">
        <v>113</v>
      </c>
      <c r="B117" s="101"/>
      <c r="C117" s="101"/>
      <c r="D117" s="101"/>
      <c r="E117" s="101"/>
      <c r="F117" s="100"/>
      <c r="G117" s="100"/>
      <c r="H117" s="100"/>
      <c r="I117" s="100"/>
      <c r="J117" s="102"/>
      <c r="K117" s="103"/>
      <c r="L117" s="104">
        <f t="shared" si="3"/>
        <v>0</v>
      </c>
      <c r="M117" s="104"/>
      <c r="N117" s="104"/>
      <c r="O117" s="105">
        <f t="shared" si="4"/>
        <v>0</v>
      </c>
      <c r="P117" s="106">
        <f t="shared" si="5"/>
        <v>0</v>
      </c>
    </row>
    <row r="118" spans="1:16" ht="16" x14ac:dyDescent="0.35">
      <c r="A118" s="100">
        <v>114</v>
      </c>
      <c r="B118" s="101"/>
      <c r="C118" s="101"/>
      <c r="D118" s="101"/>
      <c r="E118" s="101"/>
      <c r="F118" s="100"/>
      <c r="G118" s="100"/>
      <c r="H118" s="100"/>
      <c r="I118" s="100"/>
      <c r="J118" s="102"/>
      <c r="K118" s="103"/>
      <c r="L118" s="104">
        <f t="shared" si="3"/>
        <v>0</v>
      </c>
      <c r="M118" s="104"/>
      <c r="N118" s="104"/>
      <c r="O118" s="105">
        <f t="shared" si="4"/>
        <v>0</v>
      </c>
      <c r="P118" s="106">
        <f t="shared" si="5"/>
        <v>0</v>
      </c>
    </row>
    <row r="119" spans="1:16" ht="16" x14ac:dyDescent="0.35">
      <c r="A119" s="100">
        <v>115</v>
      </c>
      <c r="B119" s="101"/>
      <c r="C119" s="101"/>
      <c r="D119" s="101"/>
      <c r="E119" s="101"/>
      <c r="F119" s="100"/>
      <c r="G119" s="100"/>
      <c r="H119" s="100"/>
      <c r="I119" s="100"/>
      <c r="J119" s="102"/>
      <c r="K119" s="103"/>
      <c r="L119" s="104">
        <f t="shared" si="3"/>
        <v>0</v>
      </c>
      <c r="M119" s="104"/>
      <c r="N119" s="104"/>
      <c r="O119" s="105">
        <f t="shared" si="4"/>
        <v>0</v>
      </c>
      <c r="P119" s="106">
        <f t="shared" si="5"/>
        <v>0</v>
      </c>
    </row>
    <row r="120" spans="1:16" ht="16" x14ac:dyDescent="0.35">
      <c r="A120" s="100">
        <v>116</v>
      </c>
      <c r="B120" s="101"/>
      <c r="C120" s="101"/>
      <c r="D120" s="101"/>
      <c r="E120" s="101"/>
      <c r="F120" s="100"/>
      <c r="G120" s="100"/>
      <c r="H120" s="100"/>
      <c r="I120" s="100"/>
      <c r="J120" s="102"/>
      <c r="K120" s="103"/>
      <c r="L120" s="104">
        <f t="shared" si="3"/>
        <v>0</v>
      </c>
      <c r="M120" s="104"/>
      <c r="N120" s="104"/>
      <c r="O120" s="105">
        <f t="shared" si="4"/>
        <v>0</v>
      </c>
      <c r="P120" s="106">
        <f t="shared" si="5"/>
        <v>0</v>
      </c>
    </row>
    <row r="121" spans="1:16" ht="16" x14ac:dyDescent="0.35">
      <c r="A121" s="100">
        <v>117</v>
      </c>
      <c r="B121" s="101"/>
      <c r="C121" s="101"/>
      <c r="D121" s="101"/>
      <c r="E121" s="101"/>
      <c r="F121" s="100"/>
      <c r="G121" s="100"/>
      <c r="H121" s="100"/>
      <c r="I121" s="100"/>
      <c r="J121" s="102"/>
      <c r="K121" s="103"/>
      <c r="L121" s="104">
        <f t="shared" si="3"/>
        <v>0</v>
      </c>
      <c r="M121" s="104"/>
      <c r="N121" s="104"/>
      <c r="O121" s="105">
        <f t="shared" si="4"/>
        <v>0</v>
      </c>
      <c r="P121" s="106">
        <f t="shared" si="5"/>
        <v>0</v>
      </c>
    </row>
    <row r="122" spans="1:16" ht="16" x14ac:dyDescent="0.35">
      <c r="A122" s="100">
        <v>118</v>
      </c>
      <c r="B122" s="101"/>
      <c r="C122" s="101"/>
      <c r="D122" s="101"/>
      <c r="E122" s="101"/>
      <c r="F122" s="100"/>
      <c r="G122" s="100"/>
      <c r="H122" s="100"/>
      <c r="I122" s="100"/>
      <c r="J122" s="102"/>
      <c r="K122" s="103"/>
      <c r="L122" s="104">
        <f t="shared" si="3"/>
        <v>0</v>
      </c>
      <c r="M122" s="104"/>
      <c r="N122" s="104"/>
      <c r="O122" s="105">
        <f t="shared" si="4"/>
        <v>0</v>
      </c>
      <c r="P122" s="106">
        <f t="shared" si="5"/>
        <v>0</v>
      </c>
    </row>
    <row r="123" spans="1:16" ht="16" x14ac:dyDescent="0.35">
      <c r="A123" s="100">
        <v>119</v>
      </c>
      <c r="B123" s="101"/>
      <c r="C123" s="101"/>
      <c r="D123" s="101"/>
      <c r="E123" s="101"/>
      <c r="F123" s="100"/>
      <c r="G123" s="100"/>
      <c r="H123" s="100"/>
      <c r="I123" s="100"/>
      <c r="J123" s="102"/>
      <c r="K123" s="103"/>
      <c r="L123" s="104">
        <f t="shared" si="3"/>
        <v>0</v>
      </c>
      <c r="M123" s="104"/>
      <c r="N123" s="104"/>
      <c r="O123" s="105">
        <f t="shared" si="4"/>
        <v>0</v>
      </c>
      <c r="P123" s="106">
        <f t="shared" si="5"/>
        <v>0</v>
      </c>
    </row>
    <row r="124" spans="1:16" ht="16" x14ac:dyDescent="0.35">
      <c r="A124" s="100">
        <v>120</v>
      </c>
      <c r="B124" s="101"/>
      <c r="C124" s="101"/>
      <c r="D124" s="101"/>
      <c r="E124" s="101"/>
      <c r="F124" s="100"/>
      <c r="G124" s="100"/>
      <c r="H124" s="100"/>
      <c r="I124" s="100"/>
      <c r="J124" s="102"/>
      <c r="K124" s="103"/>
      <c r="L124" s="104">
        <f t="shared" si="3"/>
        <v>0</v>
      </c>
      <c r="M124" s="104"/>
      <c r="N124" s="104"/>
      <c r="O124" s="105">
        <f t="shared" si="4"/>
        <v>0</v>
      </c>
      <c r="P124" s="106">
        <f t="shared" si="5"/>
        <v>0</v>
      </c>
    </row>
    <row r="125" spans="1:16" ht="16" x14ac:dyDescent="0.35">
      <c r="A125" s="100">
        <v>121</v>
      </c>
      <c r="B125" s="101"/>
      <c r="C125" s="101"/>
      <c r="D125" s="101"/>
      <c r="E125" s="101"/>
      <c r="F125" s="100"/>
      <c r="G125" s="100"/>
      <c r="H125" s="100"/>
      <c r="I125" s="100"/>
      <c r="J125" s="102"/>
      <c r="K125" s="103"/>
      <c r="L125" s="104">
        <f t="shared" si="3"/>
        <v>0</v>
      </c>
      <c r="M125" s="104"/>
      <c r="N125" s="104"/>
      <c r="O125" s="105">
        <f t="shared" si="4"/>
        <v>0</v>
      </c>
      <c r="P125" s="106">
        <f t="shared" si="5"/>
        <v>0</v>
      </c>
    </row>
    <row r="126" spans="1:16" ht="16" x14ac:dyDescent="0.35">
      <c r="A126" s="100">
        <v>122</v>
      </c>
      <c r="B126" s="101"/>
      <c r="C126" s="101"/>
      <c r="D126" s="101"/>
      <c r="E126" s="101"/>
      <c r="F126" s="100"/>
      <c r="G126" s="100"/>
      <c r="H126" s="100"/>
      <c r="I126" s="100"/>
      <c r="J126" s="112"/>
      <c r="K126" s="103"/>
      <c r="L126" s="104">
        <f t="shared" si="3"/>
        <v>0</v>
      </c>
      <c r="M126" s="104"/>
      <c r="N126" s="104"/>
      <c r="O126" s="105">
        <f t="shared" si="4"/>
        <v>0</v>
      </c>
      <c r="P126" s="106">
        <f t="shared" si="5"/>
        <v>0</v>
      </c>
    </row>
    <row r="127" spans="1:16" ht="16" x14ac:dyDescent="0.35">
      <c r="A127" s="100">
        <v>123</v>
      </c>
      <c r="B127" s="101"/>
      <c r="C127" s="101"/>
      <c r="D127" s="101"/>
      <c r="E127" s="101"/>
      <c r="F127" s="100"/>
      <c r="G127" s="100"/>
      <c r="H127" s="100"/>
      <c r="I127" s="100"/>
      <c r="J127" s="112"/>
      <c r="K127" s="103"/>
      <c r="L127" s="104">
        <f t="shared" si="3"/>
        <v>0</v>
      </c>
      <c r="M127" s="104"/>
      <c r="N127" s="104"/>
      <c r="O127" s="105">
        <f t="shared" si="4"/>
        <v>0</v>
      </c>
      <c r="P127" s="106">
        <f t="shared" si="5"/>
        <v>0</v>
      </c>
    </row>
    <row r="128" spans="1:16" ht="16" x14ac:dyDescent="0.35">
      <c r="A128" s="100">
        <v>124</v>
      </c>
      <c r="B128" s="101"/>
      <c r="C128" s="101"/>
      <c r="D128" s="101"/>
      <c r="E128" s="101"/>
      <c r="F128" s="100"/>
      <c r="G128" s="100"/>
      <c r="H128" s="100"/>
      <c r="I128" s="100"/>
      <c r="J128" s="112"/>
      <c r="K128" s="103"/>
      <c r="L128" s="104">
        <f t="shared" si="3"/>
        <v>0</v>
      </c>
      <c r="M128" s="104"/>
      <c r="N128" s="104"/>
      <c r="O128" s="105">
        <f t="shared" si="4"/>
        <v>0</v>
      </c>
      <c r="P128" s="106">
        <f t="shared" si="5"/>
        <v>0</v>
      </c>
    </row>
    <row r="129" spans="1:16" ht="16" x14ac:dyDescent="0.35">
      <c r="A129" s="100">
        <v>125</v>
      </c>
      <c r="B129" s="101"/>
      <c r="C129" s="101"/>
      <c r="D129" s="101"/>
      <c r="E129" s="101"/>
      <c r="F129" s="100"/>
      <c r="G129" s="100"/>
      <c r="H129" s="100"/>
      <c r="I129" s="100"/>
      <c r="J129" s="112"/>
      <c r="K129" s="103"/>
      <c r="L129" s="104">
        <f t="shared" si="3"/>
        <v>0</v>
      </c>
      <c r="M129" s="104"/>
      <c r="N129" s="104"/>
      <c r="O129" s="105">
        <f t="shared" si="4"/>
        <v>0</v>
      </c>
      <c r="P129" s="106">
        <f t="shared" si="5"/>
        <v>0</v>
      </c>
    </row>
    <row r="130" spans="1:16" ht="16" x14ac:dyDescent="0.35">
      <c r="A130" s="100">
        <v>126</v>
      </c>
      <c r="B130" s="101"/>
      <c r="C130" s="101"/>
      <c r="D130" s="101"/>
      <c r="E130" s="101"/>
      <c r="F130" s="100"/>
      <c r="G130" s="100"/>
      <c r="H130" s="100"/>
      <c r="I130" s="100"/>
      <c r="J130" s="112"/>
      <c r="K130" s="103"/>
      <c r="L130" s="104">
        <f t="shared" si="3"/>
        <v>0</v>
      </c>
      <c r="M130" s="104"/>
      <c r="N130" s="104"/>
      <c r="O130" s="105">
        <f t="shared" si="4"/>
        <v>0</v>
      </c>
      <c r="P130" s="106">
        <f t="shared" si="5"/>
        <v>0</v>
      </c>
    </row>
    <row r="131" spans="1:16" ht="16" x14ac:dyDescent="0.35">
      <c r="A131" s="100">
        <v>127</v>
      </c>
      <c r="B131" s="101"/>
      <c r="C131" s="101"/>
      <c r="D131" s="101"/>
      <c r="E131" s="101"/>
      <c r="F131" s="100"/>
      <c r="G131" s="100"/>
      <c r="H131" s="100"/>
      <c r="I131" s="100"/>
      <c r="J131" s="112"/>
      <c r="K131" s="103"/>
      <c r="L131" s="104">
        <f t="shared" si="3"/>
        <v>0</v>
      </c>
      <c r="M131" s="104"/>
      <c r="N131" s="104"/>
      <c r="O131" s="105">
        <f t="shared" si="4"/>
        <v>0</v>
      </c>
      <c r="P131" s="106">
        <f t="shared" si="5"/>
        <v>0</v>
      </c>
    </row>
    <row r="132" spans="1:16" ht="16" x14ac:dyDescent="0.35">
      <c r="A132" s="100">
        <v>128</v>
      </c>
      <c r="B132" s="101"/>
      <c r="C132" s="101"/>
      <c r="D132" s="101"/>
      <c r="E132" s="101"/>
      <c r="F132" s="100"/>
      <c r="G132" s="100"/>
      <c r="H132" s="100"/>
      <c r="I132" s="100"/>
      <c r="J132" s="112"/>
      <c r="K132" s="103"/>
      <c r="L132" s="104">
        <f t="shared" si="3"/>
        <v>0</v>
      </c>
      <c r="M132" s="104"/>
      <c r="N132" s="104"/>
      <c r="O132" s="105">
        <f t="shared" si="4"/>
        <v>0</v>
      </c>
      <c r="P132" s="106">
        <f t="shared" si="5"/>
        <v>0</v>
      </c>
    </row>
    <row r="133" spans="1:16" ht="16" x14ac:dyDescent="0.35">
      <c r="A133" s="100">
        <v>129</v>
      </c>
      <c r="B133" s="101"/>
      <c r="C133" s="101"/>
      <c r="D133" s="101"/>
      <c r="E133" s="101"/>
      <c r="F133" s="100"/>
      <c r="G133" s="100"/>
      <c r="H133" s="100"/>
      <c r="I133" s="100"/>
      <c r="J133" s="112"/>
      <c r="K133" s="103"/>
      <c r="L133" s="104">
        <f t="shared" si="3"/>
        <v>0</v>
      </c>
      <c r="M133" s="104"/>
      <c r="N133" s="104"/>
      <c r="O133" s="105">
        <f t="shared" si="4"/>
        <v>0</v>
      </c>
      <c r="P133" s="106">
        <f t="shared" si="5"/>
        <v>0</v>
      </c>
    </row>
    <row r="134" spans="1:16" ht="16" x14ac:dyDescent="0.35">
      <c r="A134" s="100">
        <v>130</v>
      </c>
      <c r="B134" s="101"/>
      <c r="C134" s="101"/>
      <c r="D134" s="101"/>
      <c r="E134" s="101"/>
      <c r="F134" s="100"/>
      <c r="G134" s="100"/>
      <c r="H134" s="100"/>
      <c r="I134" s="100"/>
      <c r="J134" s="112"/>
      <c r="K134" s="103"/>
      <c r="L134" s="104">
        <f t="shared" si="3"/>
        <v>0</v>
      </c>
      <c r="M134" s="104"/>
      <c r="N134" s="104"/>
      <c r="O134" s="105">
        <f t="shared" ref="O134:O197" si="6">M134+(N134/12)</f>
        <v>0</v>
      </c>
      <c r="P134" s="106">
        <f t="shared" ref="P134:P197" si="7">3.14159*K134*O134</f>
        <v>0</v>
      </c>
    </row>
    <row r="135" spans="1:16" ht="16" x14ac:dyDescent="0.35">
      <c r="A135" s="100">
        <v>131</v>
      </c>
      <c r="B135" s="101"/>
      <c r="C135" s="101"/>
      <c r="D135" s="101"/>
      <c r="E135" s="101"/>
      <c r="F135" s="100"/>
      <c r="G135" s="100"/>
      <c r="H135" s="100"/>
      <c r="I135" s="100"/>
      <c r="J135" s="112"/>
      <c r="K135" s="103"/>
      <c r="L135" s="104">
        <f t="shared" si="3"/>
        <v>0</v>
      </c>
      <c r="M135" s="104"/>
      <c r="N135" s="104"/>
      <c r="O135" s="105">
        <f t="shared" si="6"/>
        <v>0</v>
      </c>
      <c r="P135" s="106">
        <f t="shared" si="7"/>
        <v>0</v>
      </c>
    </row>
    <row r="136" spans="1:16" ht="16" x14ac:dyDescent="0.35">
      <c r="A136" s="100">
        <v>132</v>
      </c>
      <c r="B136" s="101"/>
      <c r="C136" s="101"/>
      <c r="D136" s="101"/>
      <c r="E136" s="101"/>
      <c r="F136" s="100"/>
      <c r="G136" s="100"/>
      <c r="H136" s="100"/>
      <c r="I136" s="100"/>
      <c r="J136" s="112"/>
      <c r="K136" s="103"/>
      <c r="L136" s="104">
        <f t="shared" si="3"/>
        <v>0</v>
      </c>
      <c r="M136" s="104"/>
      <c r="N136" s="104"/>
      <c r="O136" s="105">
        <f t="shared" si="6"/>
        <v>0</v>
      </c>
      <c r="P136" s="106">
        <f t="shared" si="7"/>
        <v>0</v>
      </c>
    </row>
    <row r="137" spans="1:16" ht="16" x14ac:dyDescent="0.35">
      <c r="A137" s="100">
        <v>133</v>
      </c>
      <c r="B137" s="101"/>
      <c r="C137" s="101"/>
      <c r="D137" s="101"/>
      <c r="E137" s="101"/>
      <c r="F137" s="100"/>
      <c r="G137" s="100"/>
      <c r="H137" s="100"/>
      <c r="I137" s="100"/>
      <c r="J137" s="112"/>
      <c r="K137" s="103"/>
      <c r="L137" s="104">
        <f t="shared" si="3"/>
        <v>0</v>
      </c>
      <c r="M137" s="104"/>
      <c r="N137" s="104"/>
      <c r="O137" s="105">
        <f t="shared" si="6"/>
        <v>0</v>
      </c>
      <c r="P137" s="106">
        <f t="shared" si="7"/>
        <v>0</v>
      </c>
    </row>
    <row r="138" spans="1:16" ht="16" x14ac:dyDescent="0.35">
      <c r="A138" s="100">
        <v>134</v>
      </c>
      <c r="B138" s="101"/>
      <c r="C138" s="101"/>
      <c r="D138" s="101"/>
      <c r="E138" s="101"/>
      <c r="F138" s="100"/>
      <c r="G138" s="100"/>
      <c r="H138" s="100"/>
      <c r="I138" s="100"/>
      <c r="J138" s="112"/>
      <c r="K138" s="103"/>
      <c r="L138" s="104">
        <f t="shared" si="3"/>
        <v>0</v>
      </c>
      <c r="M138" s="104"/>
      <c r="N138" s="104"/>
      <c r="O138" s="105">
        <f t="shared" si="6"/>
        <v>0</v>
      </c>
      <c r="P138" s="106">
        <f t="shared" si="7"/>
        <v>0</v>
      </c>
    </row>
    <row r="139" spans="1:16" ht="16" x14ac:dyDescent="0.35">
      <c r="A139" s="100">
        <v>135</v>
      </c>
      <c r="B139" s="101"/>
      <c r="C139" s="101"/>
      <c r="D139" s="101"/>
      <c r="E139" s="101"/>
      <c r="F139" s="100"/>
      <c r="G139" s="100"/>
      <c r="H139" s="100"/>
      <c r="I139" s="100"/>
      <c r="J139" s="112"/>
      <c r="K139" s="103"/>
      <c r="L139" s="104">
        <f t="shared" si="3"/>
        <v>0</v>
      </c>
      <c r="M139" s="104"/>
      <c r="N139" s="104"/>
      <c r="O139" s="105">
        <f t="shared" si="6"/>
        <v>0</v>
      </c>
      <c r="P139" s="106">
        <f t="shared" si="7"/>
        <v>0</v>
      </c>
    </row>
    <row r="140" spans="1:16" ht="16" x14ac:dyDescent="0.35">
      <c r="A140" s="100">
        <v>136</v>
      </c>
      <c r="B140" s="101"/>
      <c r="C140" s="101"/>
      <c r="D140" s="101"/>
      <c r="E140" s="101"/>
      <c r="F140" s="100"/>
      <c r="G140" s="100"/>
      <c r="H140" s="100"/>
      <c r="I140" s="100"/>
      <c r="J140" s="112"/>
      <c r="K140" s="103"/>
      <c r="L140" s="104">
        <f t="shared" si="3"/>
        <v>0</v>
      </c>
      <c r="M140" s="104"/>
      <c r="N140" s="104"/>
      <c r="O140" s="105">
        <f t="shared" si="6"/>
        <v>0</v>
      </c>
      <c r="P140" s="106">
        <f t="shared" si="7"/>
        <v>0</v>
      </c>
    </row>
    <row r="141" spans="1:16" ht="16" x14ac:dyDescent="0.35">
      <c r="A141" s="100">
        <v>137</v>
      </c>
      <c r="B141" s="101"/>
      <c r="C141" s="101"/>
      <c r="D141" s="101"/>
      <c r="E141" s="101"/>
      <c r="F141" s="100"/>
      <c r="G141" s="100"/>
      <c r="H141" s="100"/>
      <c r="I141" s="100"/>
      <c r="J141" s="112"/>
      <c r="K141" s="103"/>
      <c r="L141" s="104">
        <f t="shared" si="3"/>
        <v>0</v>
      </c>
      <c r="M141" s="104"/>
      <c r="N141" s="104"/>
      <c r="O141" s="105">
        <f t="shared" si="6"/>
        <v>0</v>
      </c>
      <c r="P141" s="106">
        <f t="shared" si="7"/>
        <v>0</v>
      </c>
    </row>
    <row r="142" spans="1:16" ht="16" x14ac:dyDescent="0.35">
      <c r="A142" s="100">
        <v>138</v>
      </c>
      <c r="B142" s="101"/>
      <c r="C142" s="101"/>
      <c r="D142" s="101"/>
      <c r="E142" s="101"/>
      <c r="F142" s="100"/>
      <c r="G142" s="100"/>
      <c r="H142" s="100"/>
      <c r="I142" s="100"/>
      <c r="J142" s="112"/>
      <c r="K142" s="103"/>
      <c r="L142" s="104">
        <f t="shared" si="3"/>
        <v>0</v>
      </c>
      <c r="M142" s="104"/>
      <c r="N142" s="104"/>
      <c r="O142" s="105">
        <f t="shared" si="6"/>
        <v>0</v>
      </c>
      <c r="P142" s="106">
        <f t="shared" si="7"/>
        <v>0</v>
      </c>
    </row>
    <row r="143" spans="1:16" ht="16" x14ac:dyDescent="0.35">
      <c r="A143" s="100">
        <v>139</v>
      </c>
      <c r="B143" s="101"/>
      <c r="C143" s="101"/>
      <c r="D143" s="101"/>
      <c r="E143" s="101"/>
      <c r="F143" s="100"/>
      <c r="G143" s="100"/>
      <c r="H143" s="100"/>
      <c r="I143" s="100"/>
      <c r="J143" s="112"/>
      <c r="K143" s="103"/>
      <c r="L143" s="104">
        <f t="shared" si="3"/>
        <v>0</v>
      </c>
      <c r="M143" s="104"/>
      <c r="N143" s="104"/>
      <c r="O143" s="105">
        <f t="shared" si="6"/>
        <v>0</v>
      </c>
      <c r="P143" s="106">
        <f t="shared" si="7"/>
        <v>0</v>
      </c>
    </row>
    <row r="144" spans="1:16" ht="16" x14ac:dyDescent="0.35">
      <c r="A144" s="100">
        <v>140</v>
      </c>
      <c r="B144" s="101"/>
      <c r="C144" s="101"/>
      <c r="D144" s="101"/>
      <c r="E144" s="101"/>
      <c r="F144" s="100"/>
      <c r="G144" s="100"/>
      <c r="H144" s="100"/>
      <c r="I144" s="100"/>
      <c r="J144" s="112"/>
      <c r="K144" s="103"/>
      <c r="L144" s="104">
        <f t="shared" si="3"/>
        <v>0</v>
      </c>
      <c r="M144" s="104"/>
      <c r="N144" s="104"/>
      <c r="O144" s="105">
        <f t="shared" si="6"/>
        <v>0</v>
      </c>
      <c r="P144" s="106">
        <f t="shared" si="7"/>
        <v>0</v>
      </c>
    </row>
    <row r="145" spans="1:16" ht="16" x14ac:dyDescent="0.35">
      <c r="A145" s="100">
        <v>141</v>
      </c>
      <c r="B145" s="101"/>
      <c r="C145" s="101"/>
      <c r="D145" s="101"/>
      <c r="E145" s="101"/>
      <c r="F145" s="100"/>
      <c r="G145" s="100"/>
      <c r="H145" s="100"/>
      <c r="I145" s="100"/>
      <c r="J145" s="112"/>
      <c r="K145" s="103"/>
      <c r="L145" s="104">
        <f t="shared" si="3"/>
        <v>0</v>
      </c>
      <c r="M145" s="104"/>
      <c r="N145" s="104"/>
      <c r="O145" s="105">
        <f t="shared" si="6"/>
        <v>0</v>
      </c>
      <c r="P145" s="106">
        <f t="shared" si="7"/>
        <v>0</v>
      </c>
    </row>
    <row r="146" spans="1:16" ht="16" x14ac:dyDescent="0.35">
      <c r="A146" s="100">
        <v>142</v>
      </c>
      <c r="B146" s="101"/>
      <c r="C146" s="101"/>
      <c r="D146" s="101"/>
      <c r="E146" s="101"/>
      <c r="F146" s="100"/>
      <c r="G146" s="100"/>
      <c r="H146" s="100"/>
      <c r="I146" s="100"/>
      <c r="J146" s="112"/>
      <c r="K146" s="103"/>
      <c r="L146" s="104">
        <f t="shared" si="3"/>
        <v>0</v>
      </c>
      <c r="M146" s="104"/>
      <c r="N146" s="104"/>
      <c r="O146" s="105">
        <f t="shared" si="6"/>
        <v>0</v>
      </c>
      <c r="P146" s="106">
        <f t="shared" si="7"/>
        <v>0</v>
      </c>
    </row>
    <row r="147" spans="1:16" ht="16" x14ac:dyDescent="0.35">
      <c r="A147" s="100">
        <v>143</v>
      </c>
      <c r="B147" s="101"/>
      <c r="C147" s="101"/>
      <c r="D147" s="101"/>
      <c r="E147" s="101"/>
      <c r="F147" s="100"/>
      <c r="G147" s="100"/>
      <c r="H147" s="100"/>
      <c r="I147" s="100"/>
      <c r="J147" s="112"/>
      <c r="K147" s="103"/>
      <c r="L147" s="104">
        <f t="shared" si="3"/>
        <v>0</v>
      </c>
      <c r="M147" s="104"/>
      <c r="N147" s="104"/>
      <c r="O147" s="105">
        <f t="shared" si="6"/>
        <v>0</v>
      </c>
      <c r="P147" s="106">
        <f t="shared" si="7"/>
        <v>0</v>
      </c>
    </row>
    <row r="148" spans="1:16" ht="16" x14ac:dyDescent="0.35">
      <c r="A148" s="100">
        <v>144</v>
      </c>
      <c r="B148" s="101"/>
      <c r="C148" s="101"/>
      <c r="D148" s="101"/>
      <c r="E148" s="101"/>
      <c r="F148" s="100"/>
      <c r="G148" s="100"/>
      <c r="H148" s="100"/>
      <c r="I148" s="100"/>
      <c r="J148" s="112"/>
      <c r="K148" s="103"/>
      <c r="L148" s="104">
        <f t="shared" si="3"/>
        <v>0</v>
      </c>
      <c r="M148" s="104"/>
      <c r="N148" s="104"/>
      <c r="O148" s="105">
        <f t="shared" si="6"/>
        <v>0</v>
      </c>
      <c r="P148" s="106">
        <f t="shared" si="7"/>
        <v>0</v>
      </c>
    </row>
    <row r="149" spans="1:16" ht="16" x14ac:dyDescent="0.35">
      <c r="A149" s="100">
        <v>145</v>
      </c>
      <c r="B149" s="101"/>
      <c r="C149" s="101"/>
      <c r="D149" s="101"/>
      <c r="E149" s="101"/>
      <c r="F149" s="100"/>
      <c r="G149" s="100"/>
      <c r="H149" s="100"/>
      <c r="I149" s="100"/>
      <c r="J149" s="112"/>
      <c r="K149" s="103"/>
      <c r="L149" s="104">
        <f t="shared" si="3"/>
        <v>0</v>
      </c>
      <c r="M149" s="104"/>
      <c r="N149" s="104"/>
      <c r="O149" s="105">
        <f t="shared" si="6"/>
        <v>0</v>
      </c>
      <c r="P149" s="106">
        <f t="shared" si="7"/>
        <v>0</v>
      </c>
    </row>
    <row r="150" spans="1:16" ht="16" x14ac:dyDescent="0.35">
      <c r="A150" s="100">
        <v>146</v>
      </c>
      <c r="B150" s="101"/>
      <c r="C150" s="101"/>
      <c r="D150" s="101"/>
      <c r="E150" s="101"/>
      <c r="F150" s="100"/>
      <c r="G150" s="100"/>
      <c r="H150" s="100"/>
      <c r="I150" s="100"/>
      <c r="J150" s="112"/>
      <c r="K150" s="103"/>
      <c r="L150" s="104">
        <f t="shared" si="3"/>
        <v>0</v>
      </c>
      <c r="M150" s="104"/>
      <c r="N150" s="104"/>
      <c r="O150" s="105">
        <f t="shared" si="6"/>
        <v>0</v>
      </c>
      <c r="P150" s="106">
        <f t="shared" si="7"/>
        <v>0</v>
      </c>
    </row>
    <row r="151" spans="1:16" ht="16" x14ac:dyDescent="0.35">
      <c r="A151" s="100">
        <v>147</v>
      </c>
      <c r="B151" s="101"/>
      <c r="C151" s="101"/>
      <c r="D151" s="101"/>
      <c r="E151" s="101"/>
      <c r="F151" s="100"/>
      <c r="G151" s="100"/>
      <c r="H151" s="100"/>
      <c r="I151" s="100"/>
      <c r="J151" s="112"/>
      <c r="K151" s="103"/>
      <c r="L151" s="104">
        <f t="shared" si="3"/>
        <v>0</v>
      </c>
      <c r="M151" s="104"/>
      <c r="N151" s="104"/>
      <c r="O151" s="105">
        <f t="shared" si="6"/>
        <v>0</v>
      </c>
      <c r="P151" s="106">
        <f t="shared" si="7"/>
        <v>0</v>
      </c>
    </row>
    <row r="152" spans="1:16" ht="16" x14ac:dyDescent="0.35">
      <c r="A152" s="100">
        <v>148</v>
      </c>
      <c r="B152" s="101"/>
      <c r="C152" s="101"/>
      <c r="D152" s="101"/>
      <c r="E152" s="101"/>
      <c r="F152" s="100"/>
      <c r="G152" s="100"/>
      <c r="H152" s="100"/>
      <c r="I152" s="100"/>
      <c r="J152" s="112"/>
      <c r="K152" s="103"/>
      <c r="L152" s="104">
        <f t="shared" si="3"/>
        <v>0</v>
      </c>
      <c r="M152" s="104"/>
      <c r="N152" s="104"/>
      <c r="O152" s="105">
        <f t="shared" si="6"/>
        <v>0</v>
      </c>
      <c r="P152" s="106">
        <f t="shared" si="7"/>
        <v>0</v>
      </c>
    </row>
    <row r="153" spans="1:16" ht="16" x14ac:dyDescent="0.35">
      <c r="A153" s="100">
        <v>149</v>
      </c>
      <c r="B153" s="101"/>
      <c r="C153" s="101"/>
      <c r="D153" s="101"/>
      <c r="E153" s="101"/>
      <c r="F153" s="100"/>
      <c r="G153" s="100"/>
      <c r="H153" s="100"/>
      <c r="I153" s="100"/>
      <c r="J153" s="112"/>
      <c r="K153" s="103"/>
      <c r="L153" s="104">
        <f t="shared" si="3"/>
        <v>0</v>
      </c>
      <c r="M153" s="104"/>
      <c r="N153" s="104"/>
      <c r="O153" s="105">
        <f t="shared" si="6"/>
        <v>0</v>
      </c>
      <c r="P153" s="106">
        <f t="shared" si="7"/>
        <v>0</v>
      </c>
    </row>
    <row r="154" spans="1:16" ht="16" x14ac:dyDescent="0.35">
      <c r="A154" s="100">
        <v>150</v>
      </c>
      <c r="B154" s="101"/>
      <c r="C154" s="101"/>
      <c r="D154" s="101"/>
      <c r="E154" s="101"/>
      <c r="F154" s="100"/>
      <c r="G154" s="100"/>
      <c r="H154" s="100"/>
      <c r="I154" s="100"/>
      <c r="J154" s="112"/>
      <c r="K154" s="103"/>
      <c r="L154" s="104">
        <f t="shared" si="3"/>
        <v>0</v>
      </c>
      <c r="M154" s="104"/>
      <c r="N154" s="104"/>
      <c r="O154" s="105">
        <f t="shared" si="6"/>
        <v>0</v>
      </c>
      <c r="P154" s="106">
        <f t="shared" si="7"/>
        <v>0</v>
      </c>
    </row>
    <row r="155" spans="1:16" ht="16" x14ac:dyDescent="0.35">
      <c r="A155" s="100">
        <v>151</v>
      </c>
      <c r="B155" s="101"/>
      <c r="C155" s="101"/>
      <c r="D155" s="101"/>
      <c r="E155" s="101"/>
      <c r="F155" s="100"/>
      <c r="G155" s="100"/>
      <c r="H155" s="100"/>
      <c r="I155" s="100"/>
      <c r="J155" s="112"/>
      <c r="K155" s="103"/>
      <c r="L155" s="104">
        <f t="shared" si="3"/>
        <v>0</v>
      </c>
      <c r="M155" s="104"/>
      <c r="N155" s="104"/>
      <c r="O155" s="105">
        <f t="shared" si="6"/>
        <v>0</v>
      </c>
      <c r="P155" s="106">
        <f t="shared" si="7"/>
        <v>0</v>
      </c>
    </row>
    <row r="156" spans="1:16" ht="16" x14ac:dyDescent="0.35">
      <c r="A156" s="100">
        <v>152</v>
      </c>
      <c r="B156" s="101"/>
      <c r="C156" s="101"/>
      <c r="D156" s="101"/>
      <c r="E156" s="101"/>
      <c r="F156" s="100"/>
      <c r="G156" s="100"/>
      <c r="H156" s="100"/>
      <c r="I156" s="100"/>
      <c r="J156" s="112"/>
      <c r="K156" s="103"/>
      <c r="L156" s="104">
        <f t="shared" si="3"/>
        <v>0</v>
      </c>
      <c r="M156" s="104"/>
      <c r="N156" s="104"/>
      <c r="O156" s="105">
        <f t="shared" si="6"/>
        <v>0</v>
      </c>
      <c r="P156" s="106">
        <f t="shared" si="7"/>
        <v>0</v>
      </c>
    </row>
    <row r="157" spans="1:16" ht="16" x14ac:dyDescent="0.35">
      <c r="A157" s="100">
        <v>153</v>
      </c>
      <c r="B157" s="101"/>
      <c r="C157" s="101"/>
      <c r="D157" s="101"/>
      <c r="E157" s="101"/>
      <c r="F157" s="100"/>
      <c r="G157" s="100"/>
      <c r="H157" s="100"/>
      <c r="I157" s="100"/>
      <c r="J157" s="112"/>
      <c r="K157" s="103"/>
      <c r="L157" s="104">
        <f t="shared" si="3"/>
        <v>0</v>
      </c>
      <c r="M157" s="104"/>
      <c r="N157" s="104"/>
      <c r="O157" s="105">
        <f t="shared" si="6"/>
        <v>0</v>
      </c>
      <c r="P157" s="106">
        <f t="shared" si="7"/>
        <v>0</v>
      </c>
    </row>
    <row r="158" spans="1:16" ht="16" x14ac:dyDescent="0.35">
      <c r="A158" s="100">
        <v>154</v>
      </c>
      <c r="B158" s="101"/>
      <c r="C158" s="101"/>
      <c r="D158" s="101"/>
      <c r="E158" s="101"/>
      <c r="F158" s="100"/>
      <c r="G158" s="100"/>
      <c r="H158" s="100"/>
      <c r="I158" s="100"/>
      <c r="J158" s="112"/>
      <c r="K158" s="103"/>
      <c r="L158" s="104">
        <f t="shared" si="3"/>
        <v>0</v>
      </c>
      <c r="M158" s="104"/>
      <c r="N158" s="104"/>
      <c r="O158" s="105">
        <f t="shared" si="6"/>
        <v>0</v>
      </c>
      <c r="P158" s="106">
        <f t="shared" si="7"/>
        <v>0</v>
      </c>
    </row>
    <row r="159" spans="1:16" ht="16" x14ac:dyDescent="0.35">
      <c r="A159" s="100">
        <v>155</v>
      </c>
      <c r="B159" s="101"/>
      <c r="C159" s="101"/>
      <c r="D159" s="101"/>
      <c r="E159" s="101"/>
      <c r="F159" s="100"/>
      <c r="G159" s="100"/>
      <c r="H159" s="100"/>
      <c r="I159" s="100"/>
      <c r="J159" s="112"/>
      <c r="K159" s="103"/>
      <c r="L159" s="104">
        <f t="shared" si="3"/>
        <v>0</v>
      </c>
      <c r="M159" s="104"/>
      <c r="N159" s="104"/>
      <c r="O159" s="105">
        <f t="shared" si="6"/>
        <v>0</v>
      </c>
      <c r="P159" s="106">
        <f t="shared" si="7"/>
        <v>0</v>
      </c>
    </row>
    <row r="160" spans="1:16" ht="16" x14ac:dyDescent="0.35">
      <c r="A160" s="100">
        <v>156</v>
      </c>
      <c r="B160" s="101"/>
      <c r="C160" s="101"/>
      <c r="D160" s="101"/>
      <c r="E160" s="101"/>
      <c r="F160" s="100"/>
      <c r="G160" s="100"/>
      <c r="H160" s="100"/>
      <c r="I160" s="100"/>
      <c r="J160" s="112"/>
      <c r="K160" s="103"/>
      <c r="L160" s="104">
        <f t="shared" si="3"/>
        <v>0</v>
      </c>
      <c r="M160" s="104"/>
      <c r="N160" s="104"/>
      <c r="O160" s="105">
        <f t="shared" si="6"/>
        <v>0</v>
      </c>
      <c r="P160" s="106">
        <f t="shared" si="7"/>
        <v>0</v>
      </c>
    </row>
    <row r="161" spans="1:16" ht="16" x14ac:dyDescent="0.35">
      <c r="A161" s="100">
        <v>157</v>
      </c>
      <c r="B161" s="101"/>
      <c r="C161" s="101"/>
      <c r="D161" s="101"/>
      <c r="E161" s="101"/>
      <c r="F161" s="100"/>
      <c r="G161" s="100"/>
      <c r="H161" s="100"/>
      <c r="I161" s="100"/>
      <c r="J161" s="112"/>
      <c r="K161" s="103"/>
      <c r="L161" s="104">
        <f t="shared" si="3"/>
        <v>0</v>
      </c>
      <c r="M161" s="104"/>
      <c r="N161" s="104"/>
      <c r="O161" s="105">
        <f t="shared" si="6"/>
        <v>0</v>
      </c>
      <c r="P161" s="106">
        <f t="shared" si="7"/>
        <v>0</v>
      </c>
    </row>
    <row r="162" spans="1:16" ht="16" x14ac:dyDescent="0.35">
      <c r="A162" s="100">
        <v>158</v>
      </c>
      <c r="B162" s="101"/>
      <c r="C162" s="101"/>
      <c r="D162" s="101"/>
      <c r="E162" s="101"/>
      <c r="F162" s="100"/>
      <c r="G162" s="100"/>
      <c r="H162" s="100"/>
      <c r="I162" s="100"/>
      <c r="J162" s="112"/>
      <c r="K162" s="103"/>
      <c r="L162" s="104">
        <f t="shared" si="3"/>
        <v>0</v>
      </c>
      <c r="M162" s="104"/>
      <c r="N162" s="104"/>
      <c r="O162" s="105">
        <f t="shared" si="6"/>
        <v>0</v>
      </c>
      <c r="P162" s="106">
        <f t="shared" si="7"/>
        <v>0</v>
      </c>
    </row>
    <row r="163" spans="1:16" ht="16" x14ac:dyDescent="0.35">
      <c r="A163" s="100">
        <v>159</v>
      </c>
      <c r="B163" s="101"/>
      <c r="C163" s="101"/>
      <c r="D163" s="101"/>
      <c r="E163" s="101"/>
      <c r="F163" s="100"/>
      <c r="G163" s="100"/>
      <c r="H163" s="100"/>
      <c r="I163" s="100"/>
      <c r="J163" s="112"/>
      <c r="K163" s="103"/>
      <c r="L163" s="104">
        <f t="shared" si="3"/>
        <v>0</v>
      </c>
      <c r="M163" s="104"/>
      <c r="N163" s="104"/>
      <c r="O163" s="105">
        <f t="shared" si="6"/>
        <v>0</v>
      </c>
      <c r="P163" s="106">
        <f t="shared" si="7"/>
        <v>0</v>
      </c>
    </row>
    <row r="164" spans="1:16" ht="16" x14ac:dyDescent="0.35">
      <c r="A164" s="100">
        <v>160</v>
      </c>
      <c r="B164" s="101"/>
      <c r="C164" s="101"/>
      <c r="D164" s="101"/>
      <c r="E164" s="101"/>
      <c r="F164" s="100"/>
      <c r="G164" s="100"/>
      <c r="H164" s="100"/>
      <c r="I164" s="100"/>
      <c r="J164" s="112"/>
      <c r="K164" s="103"/>
      <c r="L164" s="104">
        <f t="shared" si="3"/>
        <v>0</v>
      </c>
      <c r="M164" s="104"/>
      <c r="N164" s="104"/>
      <c r="O164" s="105">
        <f t="shared" si="6"/>
        <v>0</v>
      </c>
      <c r="P164" s="106">
        <f t="shared" si="7"/>
        <v>0</v>
      </c>
    </row>
    <row r="165" spans="1:16" ht="16" x14ac:dyDescent="0.35">
      <c r="A165" s="100">
        <v>161</v>
      </c>
      <c r="B165" s="101"/>
      <c r="C165" s="101"/>
      <c r="D165" s="101"/>
      <c r="E165" s="101"/>
      <c r="F165" s="100"/>
      <c r="G165" s="100"/>
      <c r="H165" s="100"/>
      <c r="I165" s="100"/>
      <c r="J165" s="112"/>
      <c r="K165" s="103"/>
      <c r="L165" s="104">
        <f t="shared" si="3"/>
        <v>0</v>
      </c>
      <c r="M165" s="104"/>
      <c r="N165" s="104"/>
      <c r="O165" s="105">
        <f t="shared" si="6"/>
        <v>0</v>
      </c>
      <c r="P165" s="106">
        <f t="shared" si="7"/>
        <v>0</v>
      </c>
    </row>
    <row r="166" spans="1:16" ht="16" x14ac:dyDescent="0.35">
      <c r="A166" s="100">
        <v>162</v>
      </c>
      <c r="B166" s="101"/>
      <c r="C166" s="101"/>
      <c r="D166" s="101"/>
      <c r="E166" s="101"/>
      <c r="F166" s="100"/>
      <c r="G166" s="100"/>
      <c r="H166" s="100"/>
      <c r="I166" s="100"/>
      <c r="J166" s="112"/>
      <c r="K166" s="103"/>
      <c r="L166" s="104">
        <f t="shared" si="3"/>
        <v>0</v>
      </c>
      <c r="M166" s="104"/>
      <c r="N166" s="104"/>
      <c r="O166" s="105">
        <f t="shared" si="6"/>
        <v>0</v>
      </c>
      <c r="P166" s="106">
        <f t="shared" si="7"/>
        <v>0</v>
      </c>
    </row>
    <row r="167" spans="1:16" ht="16" x14ac:dyDescent="0.35">
      <c r="A167" s="100">
        <v>163</v>
      </c>
      <c r="B167" s="101"/>
      <c r="C167" s="101"/>
      <c r="D167" s="101"/>
      <c r="E167" s="101"/>
      <c r="F167" s="100"/>
      <c r="G167" s="100"/>
      <c r="H167" s="100"/>
      <c r="I167" s="100"/>
      <c r="J167" s="112"/>
      <c r="K167" s="103"/>
      <c r="L167" s="104">
        <f t="shared" si="3"/>
        <v>0</v>
      </c>
      <c r="M167" s="104"/>
      <c r="N167" s="104"/>
      <c r="O167" s="105">
        <f t="shared" si="6"/>
        <v>0</v>
      </c>
      <c r="P167" s="106">
        <f t="shared" si="7"/>
        <v>0</v>
      </c>
    </row>
    <row r="168" spans="1:16" ht="16" x14ac:dyDescent="0.35">
      <c r="A168" s="100">
        <v>164</v>
      </c>
      <c r="B168" s="101"/>
      <c r="C168" s="101"/>
      <c r="D168" s="101"/>
      <c r="E168" s="101"/>
      <c r="F168" s="100"/>
      <c r="G168" s="100"/>
      <c r="H168" s="100"/>
      <c r="I168" s="100"/>
      <c r="J168" s="112"/>
      <c r="K168" s="103"/>
      <c r="L168" s="104">
        <f t="shared" si="3"/>
        <v>0</v>
      </c>
      <c r="M168" s="104"/>
      <c r="N168" s="104"/>
      <c r="O168" s="105">
        <f t="shared" si="6"/>
        <v>0</v>
      </c>
      <c r="P168" s="106">
        <f t="shared" si="7"/>
        <v>0</v>
      </c>
    </row>
    <row r="169" spans="1:16" ht="16" x14ac:dyDescent="0.35">
      <c r="A169" s="100">
        <v>165</v>
      </c>
      <c r="B169" s="101"/>
      <c r="C169" s="101"/>
      <c r="D169" s="101"/>
      <c r="E169" s="101"/>
      <c r="F169" s="100"/>
      <c r="G169" s="100"/>
      <c r="H169" s="100"/>
      <c r="I169" s="100"/>
      <c r="J169" s="112"/>
      <c r="K169" s="103"/>
      <c r="L169" s="104">
        <f t="shared" si="3"/>
        <v>0</v>
      </c>
      <c r="M169" s="104"/>
      <c r="N169" s="104"/>
      <c r="O169" s="105">
        <f t="shared" si="6"/>
        <v>0</v>
      </c>
      <c r="P169" s="106">
        <f t="shared" si="7"/>
        <v>0</v>
      </c>
    </row>
    <row r="170" spans="1:16" ht="16" x14ac:dyDescent="0.35">
      <c r="A170" s="100">
        <v>166</v>
      </c>
      <c r="B170" s="101"/>
      <c r="C170" s="101"/>
      <c r="D170" s="101"/>
      <c r="E170" s="101"/>
      <c r="F170" s="100"/>
      <c r="G170" s="100"/>
      <c r="H170" s="100"/>
      <c r="I170" s="100"/>
      <c r="J170" s="112"/>
      <c r="K170" s="103"/>
      <c r="L170" s="104">
        <f t="shared" si="3"/>
        <v>0</v>
      </c>
      <c r="M170" s="104"/>
      <c r="N170" s="104"/>
      <c r="O170" s="105">
        <f t="shared" si="6"/>
        <v>0</v>
      </c>
      <c r="P170" s="106">
        <f t="shared" si="7"/>
        <v>0</v>
      </c>
    </row>
    <row r="171" spans="1:16" ht="16" x14ac:dyDescent="0.35">
      <c r="A171" s="100">
        <v>167</v>
      </c>
      <c r="B171" s="101"/>
      <c r="C171" s="101"/>
      <c r="D171" s="101"/>
      <c r="E171" s="101"/>
      <c r="F171" s="100"/>
      <c r="G171" s="100"/>
      <c r="H171" s="100"/>
      <c r="I171" s="100"/>
      <c r="J171" s="112"/>
      <c r="K171" s="103"/>
      <c r="L171" s="104">
        <f t="shared" si="3"/>
        <v>0</v>
      </c>
      <c r="M171" s="104"/>
      <c r="N171" s="104"/>
      <c r="O171" s="105">
        <f t="shared" si="6"/>
        <v>0</v>
      </c>
      <c r="P171" s="106">
        <f t="shared" si="7"/>
        <v>0</v>
      </c>
    </row>
    <row r="172" spans="1:16" ht="16" x14ac:dyDescent="0.35">
      <c r="A172" s="100">
        <v>168</v>
      </c>
      <c r="B172" s="101"/>
      <c r="C172" s="101"/>
      <c r="D172" s="101"/>
      <c r="E172" s="101"/>
      <c r="F172" s="100"/>
      <c r="G172" s="100"/>
      <c r="H172" s="100"/>
      <c r="I172" s="100"/>
      <c r="J172" s="112"/>
      <c r="K172" s="103"/>
      <c r="L172" s="104">
        <f t="shared" si="3"/>
        <v>0</v>
      </c>
      <c r="M172" s="104"/>
      <c r="N172" s="104"/>
      <c r="O172" s="105">
        <f t="shared" si="6"/>
        <v>0</v>
      </c>
      <c r="P172" s="106">
        <f t="shared" si="7"/>
        <v>0</v>
      </c>
    </row>
    <row r="173" spans="1:16" ht="16" x14ac:dyDescent="0.35">
      <c r="A173" s="100">
        <v>169</v>
      </c>
      <c r="B173" s="101"/>
      <c r="C173" s="101"/>
      <c r="D173" s="101"/>
      <c r="E173" s="101"/>
      <c r="F173" s="100"/>
      <c r="G173" s="100"/>
      <c r="H173" s="100"/>
      <c r="I173" s="100"/>
      <c r="J173" s="112"/>
      <c r="K173" s="103"/>
      <c r="L173" s="104">
        <f t="shared" si="3"/>
        <v>0</v>
      </c>
      <c r="M173" s="104"/>
      <c r="N173" s="104"/>
      <c r="O173" s="105">
        <f t="shared" si="6"/>
        <v>0</v>
      </c>
      <c r="P173" s="106">
        <f t="shared" si="7"/>
        <v>0</v>
      </c>
    </row>
    <row r="174" spans="1:16" ht="16" x14ac:dyDescent="0.35">
      <c r="A174" s="100">
        <v>170</v>
      </c>
      <c r="B174" s="101"/>
      <c r="C174" s="101"/>
      <c r="D174" s="101"/>
      <c r="E174" s="101"/>
      <c r="F174" s="100"/>
      <c r="G174" s="100"/>
      <c r="H174" s="100"/>
      <c r="I174" s="100"/>
      <c r="J174" s="112"/>
      <c r="K174" s="103"/>
      <c r="L174" s="104">
        <f t="shared" si="3"/>
        <v>0</v>
      </c>
      <c r="M174" s="104"/>
      <c r="N174" s="104"/>
      <c r="O174" s="105">
        <f t="shared" si="6"/>
        <v>0</v>
      </c>
      <c r="P174" s="106">
        <f t="shared" si="7"/>
        <v>0</v>
      </c>
    </row>
    <row r="175" spans="1:16" ht="16" x14ac:dyDescent="0.35">
      <c r="A175" s="100">
        <v>171</v>
      </c>
      <c r="B175" s="101"/>
      <c r="C175" s="101"/>
      <c r="D175" s="101"/>
      <c r="E175" s="101"/>
      <c r="F175" s="100"/>
      <c r="G175" s="100"/>
      <c r="H175" s="100"/>
      <c r="I175" s="100"/>
      <c r="J175" s="112"/>
      <c r="K175" s="103"/>
      <c r="L175" s="104">
        <f t="shared" si="3"/>
        <v>0</v>
      </c>
      <c r="M175" s="104"/>
      <c r="N175" s="104"/>
      <c r="O175" s="105">
        <f t="shared" si="6"/>
        <v>0</v>
      </c>
      <c r="P175" s="106">
        <f t="shared" si="7"/>
        <v>0</v>
      </c>
    </row>
    <row r="176" spans="1:16" ht="16" x14ac:dyDescent="0.35">
      <c r="A176" s="100">
        <v>172</v>
      </c>
      <c r="B176" s="101"/>
      <c r="C176" s="101"/>
      <c r="D176" s="101"/>
      <c r="E176" s="101"/>
      <c r="F176" s="100"/>
      <c r="G176" s="100"/>
      <c r="H176" s="100"/>
      <c r="I176" s="100"/>
      <c r="J176" s="112"/>
      <c r="K176" s="103"/>
      <c r="L176" s="104">
        <f t="shared" si="3"/>
        <v>0</v>
      </c>
      <c r="M176" s="104"/>
      <c r="N176" s="104"/>
      <c r="O176" s="105">
        <f t="shared" si="6"/>
        <v>0</v>
      </c>
      <c r="P176" s="106">
        <f t="shared" si="7"/>
        <v>0</v>
      </c>
    </row>
    <row r="177" spans="1:16" ht="16" x14ac:dyDescent="0.35">
      <c r="A177" s="100">
        <v>173</v>
      </c>
      <c r="B177" s="101"/>
      <c r="C177" s="101"/>
      <c r="D177" s="101"/>
      <c r="E177" s="101"/>
      <c r="F177" s="100"/>
      <c r="G177" s="100"/>
      <c r="H177" s="100"/>
      <c r="I177" s="100"/>
      <c r="J177" s="112"/>
      <c r="K177" s="103"/>
      <c r="L177" s="104">
        <f t="shared" si="3"/>
        <v>0</v>
      </c>
      <c r="M177" s="104"/>
      <c r="N177" s="104"/>
      <c r="O177" s="105">
        <f t="shared" si="6"/>
        <v>0</v>
      </c>
      <c r="P177" s="106">
        <f t="shared" si="7"/>
        <v>0</v>
      </c>
    </row>
    <row r="178" spans="1:16" ht="16" x14ac:dyDescent="0.35">
      <c r="A178" s="100">
        <v>174</v>
      </c>
      <c r="B178" s="101"/>
      <c r="C178" s="101"/>
      <c r="D178" s="101"/>
      <c r="E178" s="101"/>
      <c r="F178" s="100"/>
      <c r="G178" s="100"/>
      <c r="H178" s="100"/>
      <c r="I178" s="100"/>
      <c r="J178" s="112"/>
      <c r="K178" s="103"/>
      <c r="L178" s="104">
        <f t="shared" si="3"/>
        <v>0</v>
      </c>
      <c r="M178" s="104"/>
      <c r="N178" s="104"/>
      <c r="O178" s="105">
        <f t="shared" si="6"/>
        <v>0</v>
      </c>
      <c r="P178" s="106">
        <f t="shared" si="7"/>
        <v>0</v>
      </c>
    </row>
    <row r="179" spans="1:16" ht="16" x14ac:dyDescent="0.35">
      <c r="A179" s="100">
        <v>175</v>
      </c>
      <c r="B179" s="101"/>
      <c r="C179" s="101"/>
      <c r="D179" s="101"/>
      <c r="E179" s="101"/>
      <c r="F179" s="100"/>
      <c r="G179" s="100"/>
      <c r="H179" s="100"/>
      <c r="I179" s="100"/>
      <c r="J179" s="112"/>
      <c r="K179" s="103"/>
      <c r="L179" s="104">
        <f t="shared" si="3"/>
        <v>0</v>
      </c>
      <c r="M179" s="104"/>
      <c r="N179" s="104"/>
      <c r="O179" s="105">
        <f t="shared" si="6"/>
        <v>0</v>
      </c>
      <c r="P179" s="106">
        <f t="shared" si="7"/>
        <v>0</v>
      </c>
    </row>
    <row r="180" spans="1:16" ht="16" x14ac:dyDescent="0.35">
      <c r="A180" s="100">
        <v>176</v>
      </c>
      <c r="B180" s="101"/>
      <c r="C180" s="101"/>
      <c r="D180" s="101"/>
      <c r="E180" s="101"/>
      <c r="F180" s="100"/>
      <c r="G180" s="100"/>
      <c r="H180" s="100"/>
      <c r="I180" s="100"/>
      <c r="J180" s="112"/>
      <c r="K180" s="103"/>
      <c r="L180" s="104">
        <f t="shared" si="3"/>
        <v>0</v>
      </c>
      <c r="M180" s="104"/>
      <c r="N180" s="104"/>
      <c r="O180" s="105">
        <f t="shared" si="6"/>
        <v>0</v>
      </c>
      <c r="P180" s="106">
        <f t="shared" si="7"/>
        <v>0</v>
      </c>
    </row>
    <row r="181" spans="1:16" ht="16" x14ac:dyDescent="0.35">
      <c r="A181" s="100">
        <v>177</v>
      </c>
      <c r="B181" s="101"/>
      <c r="C181" s="101"/>
      <c r="D181" s="101"/>
      <c r="E181" s="101"/>
      <c r="F181" s="100"/>
      <c r="G181" s="100"/>
      <c r="H181" s="100"/>
      <c r="I181" s="100"/>
      <c r="J181" s="112"/>
      <c r="K181" s="103"/>
      <c r="L181" s="104">
        <f t="shared" si="3"/>
        <v>0</v>
      </c>
      <c r="M181" s="104"/>
      <c r="N181" s="104"/>
      <c r="O181" s="105">
        <f t="shared" si="6"/>
        <v>0</v>
      </c>
      <c r="P181" s="106">
        <f t="shared" si="7"/>
        <v>0</v>
      </c>
    </row>
    <row r="182" spans="1:16" ht="16" x14ac:dyDescent="0.35">
      <c r="A182" s="100">
        <v>178</v>
      </c>
      <c r="B182" s="101"/>
      <c r="C182" s="101"/>
      <c r="D182" s="101"/>
      <c r="E182" s="101"/>
      <c r="F182" s="100"/>
      <c r="G182" s="100"/>
      <c r="H182" s="100"/>
      <c r="I182" s="100"/>
      <c r="J182" s="112"/>
      <c r="K182" s="103"/>
      <c r="L182" s="104">
        <f t="shared" si="3"/>
        <v>0</v>
      </c>
      <c r="M182" s="104"/>
      <c r="N182" s="104"/>
      <c r="O182" s="105">
        <f t="shared" si="6"/>
        <v>0</v>
      </c>
      <c r="P182" s="106">
        <f t="shared" si="7"/>
        <v>0</v>
      </c>
    </row>
    <row r="183" spans="1:16" ht="16" x14ac:dyDescent="0.35">
      <c r="A183" s="100">
        <v>179</v>
      </c>
      <c r="B183" s="101"/>
      <c r="C183" s="101"/>
      <c r="D183" s="101"/>
      <c r="E183" s="101"/>
      <c r="F183" s="100"/>
      <c r="G183" s="100"/>
      <c r="H183" s="100"/>
      <c r="I183" s="100"/>
      <c r="J183" s="112"/>
      <c r="K183" s="103"/>
      <c r="L183" s="104">
        <f t="shared" si="3"/>
        <v>0</v>
      </c>
      <c r="M183" s="104"/>
      <c r="N183" s="104"/>
      <c r="O183" s="105">
        <f t="shared" si="6"/>
        <v>0</v>
      </c>
      <c r="P183" s="106">
        <f t="shared" si="7"/>
        <v>0</v>
      </c>
    </row>
    <row r="184" spans="1:16" ht="16" x14ac:dyDescent="0.35">
      <c r="A184" s="100">
        <v>180</v>
      </c>
      <c r="B184" s="101"/>
      <c r="C184" s="101"/>
      <c r="D184" s="101"/>
      <c r="E184" s="101"/>
      <c r="F184" s="100"/>
      <c r="G184" s="100"/>
      <c r="H184" s="100"/>
      <c r="I184" s="100"/>
      <c r="J184" s="112"/>
      <c r="K184" s="103"/>
      <c r="L184" s="104">
        <f t="shared" si="3"/>
        <v>0</v>
      </c>
      <c r="M184" s="104"/>
      <c r="N184" s="104"/>
      <c r="O184" s="105">
        <f t="shared" si="6"/>
        <v>0</v>
      </c>
      <c r="P184" s="106">
        <f t="shared" si="7"/>
        <v>0</v>
      </c>
    </row>
    <row r="185" spans="1:16" ht="16" x14ac:dyDescent="0.35">
      <c r="A185" s="100">
        <v>181</v>
      </c>
      <c r="B185" s="101"/>
      <c r="C185" s="101"/>
      <c r="D185" s="101"/>
      <c r="E185" s="101"/>
      <c r="F185" s="100"/>
      <c r="G185" s="100"/>
      <c r="H185" s="100"/>
      <c r="I185" s="100"/>
      <c r="J185" s="112"/>
      <c r="K185" s="103"/>
      <c r="L185" s="104">
        <f t="shared" si="3"/>
        <v>0</v>
      </c>
      <c r="M185" s="104"/>
      <c r="N185" s="104"/>
      <c r="O185" s="105">
        <f t="shared" si="6"/>
        <v>0</v>
      </c>
      <c r="P185" s="106">
        <f t="shared" si="7"/>
        <v>0</v>
      </c>
    </row>
    <row r="186" spans="1:16" ht="16" x14ac:dyDescent="0.35">
      <c r="A186" s="100">
        <v>182</v>
      </c>
      <c r="B186" s="101"/>
      <c r="C186" s="101"/>
      <c r="D186" s="101"/>
      <c r="E186" s="101"/>
      <c r="F186" s="100"/>
      <c r="G186" s="100"/>
      <c r="H186" s="100"/>
      <c r="I186" s="100"/>
      <c r="J186" s="112"/>
      <c r="K186" s="103"/>
      <c r="L186" s="104">
        <f t="shared" si="3"/>
        <v>0</v>
      </c>
      <c r="M186" s="104"/>
      <c r="N186" s="104"/>
      <c r="O186" s="105">
        <f t="shared" si="6"/>
        <v>0</v>
      </c>
      <c r="P186" s="106">
        <f t="shared" si="7"/>
        <v>0</v>
      </c>
    </row>
    <row r="187" spans="1:16" ht="16" x14ac:dyDescent="0.35">
      <c r="A187" s="100">
        <v>183</v>
      </c>
      <c r="B187" s="101"/>
      <c r="C187" s="101"/>
      <c r="D187" s="101"/>
      <c r="E187" s="101"/>
      <c r="F187" s="100"/>
      <c r="G187" s="100"/>
      <c r="H187" s="100"/>
      <c r="I187" s="100"/>
      <c r="J187" s="112"/>
      <c r="K187" s="103"/>
      <c r="L187" s="104">
        <f t="shared" si="3"/>
        <v>0</v>
      </c>
      <c r="M187" s="104"/>
      <c r="N187" s="104"/>
      <c r="O187" s="105">
        <f t="shared" si="6"/>
        <v>0</v>
      </c>
      <c r="P187" s="106">
        <f t="shared" si="7"/>
        <v>0</v>
      </c>
    </row>
    <row r="188" spans="1:16" ht="16" x14ac:dyDescent="0.35">
      <c r="A188" s="100">
        <v>184</v>
      </c>
      <c r="B188" s="101"/>
      <c r="C188" s="101"/>
      <c r="D188" s="101"/>
      <c r="E188" s="101"/>
      <c r="F188" s="100"/>
      <c r="G188" s="100"/>
      <c r="H188" s="100"/>
      <c r="I188" s="100"/>
      <c r="J188" s="112"/>
      <c r="K188" s="103"/>
      <c r="L188" s="104">
        <f t="shared" si="3"/>
        <v>0</v>
      </c>
      <c r="M188" s="104"/>
      <c r="N188" s="104"/>
      <c r="O188" s="105">
        <f t="shared" si="6"/>
        <v>0</v>
      </c>
      <c r="P188" s="106">
        <f t="shared" si="7"/>
        <v>0</v>
      </c>
    </row>
    <row r="189" spans="1:16" ht="16" x14ac:dyDescent="0.35">
      <c r="A189" s="100">
        <v>185</v>
      </c>
      <c r="B189" s="101"/>
      <c r="C189" s="101"/>
      <c r="D189" s="101"/>
      <c r="E189" s="101"/>
      <c r="F189" s="100"/>
      <c r="G189" s="100"/>
      <c r="H189" s="100"/>
      <c r="I189" s="100"/>
      <c r="J189" s="112"/>
      <c r="K189" s="103"/>
      <c r="L189" s="104">
        <f t="shared" si="3"/>
        <v>0</v>
      </c>
      <c r="M189" s="104"/>
      <c r="N189" s="104"/>
      <c r="O189" s="105">
        <f t="shared" si="6"/>
        <v>0</v>
      </c>
      <c r="P189" s="106">
        <f t="shared" si="7"/>
        <v>0</v>
      </c>
    </row>
    <row r="190" spans="1:16" ht="16" x14ac:dyDescent="0.35">
      <c r="A190" s="100">
        <v>186</v>
      </c>
      <c r="B190" s="101"/>
      <c r="C190" s="101"/>
      <c r="D190" s="101"/>
      <c r="E190" s="101"/>
      <c r="F190" s="100"/>
      <c r="G190" s="100"/>
      <c r="H190" s="100"/>
      <c r="I190" s="100"/>
      <c r="J190" s="112"/>
      <c r="K190" s="103"/>
      <c r="L190" s="104">
        <f t="shared" si="3"/>
        <v>0</v>
      </c>
      <c r="M190" s="104"/>
      <c r="N190" s="104"/>
      <c r="O190" s="105">
        <f t="shared" si="6"/>
        <v>0</v>
      </c>
      <c r="P190" s="106">
        <f t="shared" si="7"/>
        <v>0</v>
      </c>
    </row>
    <row r="191" spans="1:16" ht="16" x14ac:dyDescent="0.35">
      <c r="A191" s="100">
        <v>187</v>
      </c>
      <c r="B191" s="101"/>
      <c r="C191" s="101"/>
      <c r="D191" s="101"/>
      <c r="E191" s="101"/>
      <c r="F191" s="100"/>
      <c r="G191" s="100"/>
      <c r="H191" s="100"/>
      <c r="I191" s="100"/>
      <c r="J191" s="112"/>
      <c r="K191" s="103"/>
      <c r="L191" s="104">
        <f t="shared" si="3"/>
        <v>0</v>
      </c>
      <c r="M191" s="104"/>
      <c r="N191" s="104"/>
      <c r="O191" s="105">
        <f t="shared" si="6"/>
        <v>0</v>
      </c>
      <c r="P191" s="106">
        <f t="shared" si="7"/>
        <v>0</v>
      </c>
    </row>
    <row r="192" spans="1:16" ht="16" x14ac:dyDescent="0.35">
      <c r="A192" s="100">
        <v>188</v>
      </c>
      <c r="B192" s="101"/>
      <c r="C192" s="101"/>
      <c r="D192" s="101"/>
      <c r="E192" s="101"/>
      <c r="F192" s="100"/>
      <c r="G192" s="100"/>
      <c r="H192" s="100"/>
      <c r="I192" s="100"/>
      <c r="J192" s="112"/>
      <c r="K192" s="103"/>
      <c r="L192" s="104">
        <f t="shared" si="3"/>
        <v>0</v>
      </c>
      <c r="M192" s="104"/>
      <c r="N192" s="104"/>
      <c r="O192" s="105">
        <f t="shared" si="6"/>
        <v>0</v>
      </c>
      <c r="P192" s="106">
        <f t="shared" si="7"/>
        <v>0</v>
      </c>
    </row>
    <row r="193" spans="1:16" ht="16" x14ac:dyDescent="0.35">
      <c r="A193" s="100">
        <v>189</v>
      </c>
      <c r="B193" s="101"/>
      <c r="C193" s="101"/>
      <c r="D193" s="101"/>
      <c r="E193" s="101"/>
      <c r="F193" s="100"/>
      <c r="G193" s="100"/>
      <c r="H193" s="100"/>
      <c r="I193" s="100"/>
      <c r="J193" s="112"/>
      <c r="K193" s="103"/>
      <c r="L193" s="104">
        <f t="shared" si="3"/>
        <v>0</v>
      </c>
      <c r="M193" s="104"/>
      <c r="N193" s="104"/>
      <c r="O193" s="105">
        <f t="shared" si="6"/>
        <v>0</v>
      </c>
      <c r="P193" s="106">
        <f t="shared" si="7"/>
        <v>0</v>
      </c>
    </row>
    <row r="194" spans="1:16" ht="16" x14ac:dyDescent="0.35">
      <c r="A194" s="100">
        <v>190</v>
      </c>
      <c r="B194" s="101"/>
      <c r="C194" s="101"/>
      <c r="D194" s="101"/>
      <c r="E194" s="101"/>
      <c r="F194" s="100"/>
      <c r="G194" s="100"/>
      <c r="H194" s="100"/>
      <c r="I194" s="100"/>
      <c r="J194" s="112"/>
      <c r="K194" s="103"/>
      <c r="L194" s="104">
        <f t="shared" si="3"/>
        <v>0</v>
      </c>
      <c r="M194" s="104"/>
      <c r="N194" s="104"/>
      <c r="O194" s="105">
        <f t="shared" si="6"/>
        <v>0</v>
      </c>
      <c r="P194" s="106">
        <f t="shared" si="7"/>
        <v>0</v>
      </c>
    </row>
    <row r="195" spans="1:16" ht="16" x14ac:dyDescent="0.35">
      <c r="A195" s="100">
        <v>191</v>
      </c>
      <c r="B195" s="101"/>
      <c r="C195" s="101"/>
      <c r="D195" s="101"/>
      <c r="E195" s="101"/>
      <c r="F195" s="100"/>
      <c r="G195" s="100"/>
      <c r="H195" s="100"/>
      <c r="I195" s="100"/>
      <c r="J195" s="112"/>
      <c r="K195" s="103"/>
      <c r="L195" s="104">
        <f t="shared" si="3"/>
        <v>0</v>
      </c>
      <c r="M195" s="104"/>
      <c r="N195" s="104"/>
      <c r="O195" s="105">
        <f t="shared" si="6"/>
        <v>0</v>
      </c>
      <c r="P195" s="106">
        <f t="shared" si="7"/>
        <v>0</v>
      </c>
    </row>
    <row r="196" spans="1:16" ht="16" x14ac:dyDescent="0.35">
      <c r="A196" s="100">
        <v>192</v>
      </c>
      <c r="B196" s="101"/>
      <c r="C196" s="101"/>
      <c r="D196" s="101"/>
      <c r="E196" s="101"/>
      <c r="F196" s="100"/>
      <c r="G196" s="100"/>
      <c r="H196" s="100"/>
      <c r="I196" s="100"/>
      <c r="J196" s="112"/>
      <c r="K196" s="103"/>
      <c r="L196" s="104">
        <f t="shared" si="3"/>
        <v>0</v>
      </c>
      <c r="M196" s="104"/>
      <c r="N196" s="104"/>
      <c r="O196" s="105">
        <f t="shared" si="6"/>
        <v>0</v>
      </c>
      <c r="P196" s="106">
        <f t="shared" si="7"/>
        <v>0</v>
      </c>
    </row>
    <row r="197" spans="1:16" ht="16" x14ac:dyDescent="0.35">
      <c r="A197" s="100">
        <v>193</v>
      </c>
      <c r="B197" s="101"/>
      <c r="C197" s="101"/>
      <c r="D197" s="101"/>
      <c r="E197" s="101"/>
      <c r="F197" s="100"/>
      <c r="G197" s="100"/>
      <c r="H197" s="100"/>
      <c r="I197" s="100"/>
      <c r="J197" s="112"/>
      <c r="K197" s="103"/>
      <c r="L197" s="104">
        <f t="shared" si="3"/>
        <v>0</v>
      </c>
      <c r="M197" s="104"/>
      <c r="N197" s="104"/>
      <c r="O197" s="105">
        <f t="shared" si="6"/>
        <v>0</v>
      </c>
      <c r="P197" s="106">
        <f t="shared" si="7"/>
        <v>0</v>
      </c>
    </row>
    <row r="198" spans="1:16" ht="16" x14ac:dyDescent="0.35">
      <c r="A198" s="100">
        <v>194</v>
      </c>
      <c r="B198" s="101"/>
      <c r="C198" s="101"/>
      <c r="D198" s="101"/>
      <c r="E198" s="101"/>
      <c r="F198" s="100"/>
      <c r="G198" s="100"/>
      <c r="H198" s="100"/>
      <c r="I198" s="100"/>
      <c r="J198" s="112"/>
      <c r="K198" s="103"/>
      <c r="L198" s="104">
        <f t="shared" si="3"/>
        <v>0</v>
      </c>
      <c r="M198" s="104"/>
      <c r="N198" s="104"/>
      <c r="O198" s="105">
        <f t="shared" ref="O198:O202" si="8">M198+(N198/12)</f>
        <v>0</v>
      </c>
      <c r="P198" s="106">
        <f t="shared" ref="P198:P202" si="9">3.14159*K198*O198</f>
        <v>0</v>
      </c>
    </row>
    <row r="199" spans="1:16" ht="16" x14ac:dyDescent="0.35">
      <c r="A199" s="100">
        <v>195</v>
      </c>
      <c r="B199" s="101"/>
      <c r="C199" s="101"/>
      <c r="D199" s="101"/>
      <c r="E199" s="101"/>
      <c r="F199" s="100"/>
      <c r="G199" s="100"/>
      <c r="H199" s="100"/>
      <c r="I199" s="100"/>
      <c r="J199" s="112"/>
      <c r="K199" s="103"/>
      <c r="L199" s="104">
        <f t="shared" si="3"/>
        <v>0</v>
      </c>
      <c r="M199" s="104"/>
      <c r="N199" s="104"/>
      <c r="O199" s="105">
        <f t="shared" si="8"/>
        <v>0</v>
      </c>
      <c r="P199" s="106">
        <f t="shared" si="9"/>
        <v>0</v>
      </c>
    </row>
    <row r="200" spans="1:16" ht="16" x14ac:dyDescent="0.35">
      <c r="A200" s="100">
        <v>196</v>
      </c>
      <c r="B200" s="101"/>
      <c r="C200" s="101"/>
      <c r="D200" s="101"/>
      <c r="E200" s="101"/>
      <c r="F200" s="100"/>
      <c r="G200" s="100"/>
      <c r="H200" s="100"/>
      <c r="I200" s="100"/>
      <c r="J200" s="112"/>
      <c r="K200" s="103"/>
      <c r="L200" s="104">
        <f t="shared" si="3"/>
        <v>0</v>
      </c>
      <c r="M200" s="104"/>
      <c r="N200" s="104"/>
      <c r="O200" s="105">
        <f t="shared" si="8"/>
        <v>0</v>
      </c>
      <c r="P200" s="106">
        <f t="shared" si="9"/>
        <v>0</v>
      </c>
    </row>
    <row r="201" spans="1:16" ht="16" x14ac:dyDescent="0.35">
      <c r="A201" s="100">
        <v>197</v>
      </c>
      <c r="B201" s="101"/>
      <c r="C201" s="101"/>
      <c r="D201" s="101"/>
      <c r="E201" s="101"/>
      <c r="F201" s="100"/>
      <c r="G201" s="100"/>
      <c r="H201" s="100"/>
      <c r="I201" s="100"/>
      <c r="J201" s="112"/>
      <c r="K201" s="103"/>
      <c r="L201" s="104">
        <f t="shared" si="3"/>
        <v>0</v>
      </c>
      <c r="M201" s="104"/>
      <c r="N201" s="104"/>
      <c r="O201" s="105">
        <f t="shared" si="8"/>
        <v>0</v>
      </c>
      <c r="P201" s="106">
        <f t="shared" si="9"/>
        <v>0</v>
      </c>
    </row>
    <row r="202" spans="1:16" ht="16.5" thickBot="1" x14ac:dyDescent="0.4">
      <c r="A202" s="100">
        <v>198</v>
      </c>
      <c r="B202" s="113"/>
      <c r="C202" s="113"/>
      <c r="D202" s="113"/>
      <c r="E202" s="113"/>
      <c r="F202" s="114"/>
      <c r="G202" s="114"/>
      <c r="H202" s="115"/>
      <c r="I202" s="115"/>
      <c r="J202" s="112"/>
      <c r="K202" s="103"/>
      <c r="L202" s="104">
        <f t="shared" si="3"/>
        <v>0</v>
      </c>
      <c r="M202" s="104"/>
      <c r="N202" s="104"/>
      <c r="O202" s="105">
        <f t="shared" si="8"/>
        <v>0</v>
      </c>
      <c r="P202" s="106">
        <f t="shared" si="9"/>
        <v>0</v>
      </c>
    </row>
    <row r="203" spans="1:16" ht="17" thickTop="1" thickBot="1" x14ac:dyDescent="0.4">
      <c r="A203" s="116"/>
      <c r="B203" s="116"/>
      <c r="C203" s="116"/>
      <c r="D203" s="116"/>
      <c r="E203" s="116"/>
      <c r="F203" s="116"/>
      <c r="G203" s="116"/>
      <c r="H203" s="117">
        <f>SUM(H5:H201)</f>
        <v>0</v>
      </c>
      <c r="I203" s="118">
        <f>SUM(I5:I201)</f>
        <v>0</v>
      </c>
      <c r="J203" s="119"/>
      <c r="K203" s="120"/>
      <c r="L203" s="121">
        <f t="shared" si="3"/>
        <v>0</v>
      </c>
      <c r="M203" s="121"/>
      <c r="N203" s="121"/>
      <c r="O203" s="122"/>
      <c r="P203" s="106">
        <f t="shared" ref="P203" si="10">SUM(Q203:S203)</f>
        <v>0</v>
      </c>
    </row>
    <row r="204" spans="1:16" ht="16" x14ac:dyDescent="0.35">
      <c r="A204" s="123" t="s">
        <v>106</v>
      </c>
      <c r="B204" s="116"/>
      <c r="C204" s="116"/>
      <c r="D204" s="116"/>
      <c r="E204" s="116"/>
      <c r="F204" s="116"/>
      <c r="G204" s="116"/>
      <c r="H204" s="116"/>
      <c r="I204" s="116"/>
      <c r="J204" s="124"/>
      <c r="K204" s="125"/>
      <c r="L204" s="126"/>
      <c r="M204" s="126"/>
      <c r="N204" s="126"/>
      <c r="O204" s="125"/>
      <c r="P204" s="127"/>
    </row>
    <row r="205" spans="1:16" ht="16" x14ac:dyDescent="0.35">
      <c r="A205" s="123" t="s">
        <v>107</v>
      </c>
      <c r="B205" s="116"/>
      <c r="C205" s="116"/>
      <c r="D205" s="116"/>
      <c r="E205" s="116"/>
      <c r="F205" s="116"/>
      <c r="G205" s="116"/>
      <c r="H205" s="116"/>
      <c r="I205" s="116"/>
      <c r="J205" s="128"/>
      <c r="K205" s="116"/>
      <c r="L205" s="116"/>
      <c r="M205" s="116"/>
      <c r="N205" s="116"/>
      <c r="O205" s="129" t="s">
        <v>106</v>
      </c>
      <c r="P205" s="129"/>
    </row>
    <row r="206" spans="1:16" ht="16" x14ac:dyDescent="0.35">
      <c r="A206" s="130">
        <f>COUNT(A5:A205)</f>
        <v>198</v>
      </c>
      <c r="G206" s="116"/>
      <c r="H206" s="116"/>
      <c r="I206" s="116"/>
      <c r="J206" s="128"/>
      <c r="K206" s="116"/>
      <c r="L206" s="116"/>
      <c r="M206" s="116"/>
      <c r="N206" s="116"/>
      <c r="O206" s="123" t="s">
        <v>94</v>
      </c>
      <c r="P206" s="123" t="s">
        <v>95</v>
      </c>
    </row>
    <row r="207" spans="1:16" ht="15" thickBot="1" x14ac:dyDescent="0.4">
      <c r="L207" s="131"/>
      <c r="M207" s="131"/>
      <c r="N207" s="131"/>
      <c r="O207" s="130">
        <f>SUM(O5:O203)</f>
        <v>0</v>
      </c>
      <c r="P207" s="132">
        <f>SUM(P5:P203)</f>
        <v>0</v>
      </c>
    </row>
    <row r="208" spans="1:16" x14ac:dyDescent="0.35">
      <c r="A208" s="133">
        <f>AC244</f>
        <v>0</v>
      </c>
      <c r="B208" s="134" t="s">
        <v>117</v>
      </c>
      <c r="C208" s="134"/>
      <c r="D208" s="134"/>
      <c r="E208" s="135">
        <f>A208/A$206</f>
        <v>0</v>
      </c>
    </row>
    <row r="209" spans="1:16" x14ac:dyDescent="0.35">
      <c r="A209" s="136">
        <f>AC254</f>
        <v>0</v>
      </c>
      <c r="B209" s="78" t="s">
        <v>118</v>
      </c>
      <c r="C209" s="78"/>
      <c r="D209" s="78"/>
      <c r="E209" s="137">
        <f t="shared" ref="E209:E212" si="11">A209/A$206</f>
        <v>0</v>
      </c>
      <c r="K209"/>
      <c r="L209"/>
      <c r="M209"/>
      <c r="N209"/>
      <c r="O209"/>
      <c r="P209"/>
    </row>
    <row r="210" spans="1:16" x14ac:dyDescent="0.35">
      <c r="A210" s="136">
        <f>AC264</f>
        <v>0</v>
      </c>
      <c r="B210" s="78" t="s">
        <v>119</v>
      </c>
      <c r="C210" s="78"/>
      <c r="D210" s="78"/>
      <c r="E210" s="137">
        <f t="shared" si="11"/>
        <v>0</v>
      </c>
      <c r="F210" s="131"/>
      <c r="G210" s="131"/>
      <c r="H210" s="131"/>
      <c r="I210" s="131"/>
      <c r="K210"/>
      <c r="L210"/>
      <c r="M210"/>
      <c r="N210"/>
      <c r="O210"/>
      <c r="P210"/>
    </row>
    <row r="211" spans="1:16" x14ac:dyDescent="0.35">
      <c r="A211" s="136">
        <f>AC274</f>
        <v>0</v>
      </c>
      <c r="B211" s="78" t="s">
        <v>120</v>
      </c>
      <c r="C211" s="78"/>
      <c r="D211" s="78"/>
      <c r="E211" s="137">
        <f t="shared" si="11"/>
        <v>0</v>
      </c>
      <c r="F211" s="131"/>
      <c r="G211" s="131"/>
      <c r="H211" s="131"/>
      <c r="I211" s="131"/>
      <c r="K211"/>
      <c r="L211"/>
      <c r="M211"/>
      <c r="N211"/>
      <c r="O211"/>
      <c r="P211"/>
    </row>
    <row r="212" spans="1:16" ht="15" thickBot="1" x14ac:dyDescent="0.4">
      <c r="A212" s="138">
        <f>AC284</f>
        <v>0</v>
      </c>
      <c r="B212" s="139" t="s">
        <v>121</v>
      </c>
      <c r="C212" s="139"/>
      <c r="D212" s="139"/>
      <c r="E212" s="140">
        <f t="shared" si="11"/>
        <v>0</v>
      </c>
      <c r="F212" s="131"/>
      <c r="G212" s="131"/>
      <c r="H212" s="131"/>
      <c r="I212" s="131"/>
      <c r="K212"/>
      <c r="L212"/>
      <c r="M212"/>
      <c r="N212"/>
      <c r="O212"/>
      <c r="P212"/>
    </row>
    <row r="213" spans="1:16" x14ac:dyDescent="0.35">
      <c r="F213" s="131"/>
      <c r="G213" s="131"/>
      <c r="H213" s="131"/>
      <c r="I213" s="131"/>
      <c r="K213"/>
      <c r="L213"/>
      <c r="M213"/>
      <c r="N213"/>
      <c r="O213"/>
      <c r="P213"/>
    </row>
    <row r="214" spans="1:16" x14ac:dyDescent="0.35">
      <c r="K214"/>
      <c r="L214"/>
      <c r="M214"/>
      <c r="N214"/>
      <c r="O214"/>
      <c r="P214"/>
    </row>
    <row r="215" spans="1:16" x14ac:dyDescent="0.35">
      <c r="K215"/>
      <c r="L215"/>
      <c r="M215"/>
      <c r="N215"/>
      <c r="O215"/>
      <c r="P215"/>
    </row>
    <row r="216" spans="1:16" x14ac:dyDescent="0.35">
      <c r="K216"/>
      <c r="L216"/>
      <c r="M216"/>
      <c r="N216"/>
      <c r="O216"/>
      <c r="P216"/>
    </row>
    <row r="217" spans="1:16" x14ac:dyDescent="0.35">
      <c r="E217" s="123"/>
      <c r="F217" s="141"/>
      <c r="G217" s="141"/>
      <c r="H217" s="141"/>
      <c r="I217" s="141"/>
      <c r="K217"/>
      <c r="L217"/>
      <c r="M217"/>
      <c r="N217"/>
      <c r="O217"/>
      <c r="P217"/>
    </row>
    <row r="218" spans="1:16" x14ac:dyDescent="0.35">
      <c r="E218"/>
      <c r="F218"/>
      <c r="G218"/>
      <c r="H218"/>
      <c r="I218"/>
      <c r="J218" s="141"/>
      <c r="K218"/>
      <c r="L218"/>
      <c r="M218"/>
      <c r="N218"/>
      <c r="O218"/>
      <c r="P218"/>
    </row>
    <row r="219" spans="1:16" x14ac:dyDescent="0.35">
      <c r="E219" s="142"/>
      <c r="F219" s="141"/>
      <c r="G219" s="141"/>
      <c r="H219" s="141"/>
      <c r="I219" s="141"/>
      <c r="K219"/>
      <c r="L219"/>
      <c r="M219"/>
      <c r="N219"/>
      <c r="O219"/>
      <c r="P219"/>
    </row>
    <row r="220" spans="1:16" x14ac:dyDescent="0.35">
      <c r="J220" s="141"/>
      <c r="K220"/>
      <c r="L220"/>
      <c r="M220"/>
      <c r="N220"/>
      <c r="O220"/>
      <c r="P220"/>
    </row>
    <row r="221" spans="1:16" ht="15.5" customHeight="1" x14ac:dyDescent="0.35">
      <c r="E221"/>
      <c r="F221"/>
      <c r="G221"/>
      <c r="H221"/>
      <c r="I221"/>
      <c r="K221"/>
      <c r="L221"/>
      <c r="M221"/>
      <c r="N221"/>
      <c r="O221"/>
      <c r="P221"/>
    </row>
    <row r="222" spans="1:16" x14ac:dyDescent="0.35">
      <c r="K222"/>
      <c r="L222"/>
      <c r="M222"/>
      <c r="N222"/>
      <c r="O222"/>
      <c r="P222"/>
    </row>
    <row r="223" spans="1:16" ht="15.5" customHeight="1" x14ac:dyDescent="0.35">
      <c r="K223"/>
      <c r="L223"/>
      <c r="M223"/>
      <c r="N223"/>
      <c r="O223"/>
      <c r="P223"/>
    </row>
    <row r="224" spans="1:16" ht="15.5" customHeight="1" x14ac:dyDescent="0.35">
      <c r="K224"/>
      <c r="L224"/>
      <c r="M224"/>
      <c r="N224"/>
      <c r="O224"/>
      <c r="P224"/>
    </row>
    <row r="225" spans="10:16" ht="15.5" customHeight="1" x14ac:dyDescent="0.35">
      <c r="K225"/>
      <c r="L225"/>
      <c r="M225"/>
      <c r="N225"/>
      <c r="O225"/>
      <c r="P225"/>
    </row>
    <row r="226" spans="10:16" ht="15.5" customHeight="1" x14ac:dyDescent="0.35">
      <c r="K226"/>
      <c r="L226"/>
      <c r="M226"/>
      <c r="N226"/>
      <c r="O226"/>
      <c r="P226"/>
    </row>
    <row r="227" spans="10:16" ht="15.5" customHeight="1" x14ac:dyDescent="0.35">
      <c r="K227"/>
      <c r="L227"/>
      <c r="M227"/>
      <c r="N227"/>
      <c r="O227"/>
      <c r="P227"/>
    </row>
    <row r="228" spans="10:16" ht="15.5" customHeight="1" x14ac:dyDescent="0.35">
      <c r="J228" s="143" t="s">
        <v>122</v>
      </c>
      <c r="K228"/>
      <c r="L228"/>
      <c r="M228"/>
      <c r="N228"/>
      <c r="O228"/>
      <c r="P228"/>
    </row>
    <row r="229" spans="10:16" ht="15.5" customHeight="1" x14ac:dyDescent="0.35">
      <c r="J229" s="144">
        <f>AD207</f>
        <v>0</v>
      </c>
      <c r="K229"/>
      <c r="L229"/>
      <c r="M229"/>
      <c r="N229"/>
      <c r="O229"/>
      <c r="P229"/>
    </row>
    <row r="230" spans="10:16" ht="15.5" customHeight="1" x14ac:dyDescent="0.35">
      <c r="J230" s="144">
        <f>AF207</f>
        <v>0</v>
      </c>
      <c r="K230"/>
      <c r="L230"/>
      <c r="M230"/>
      <c r="N230"/>
      <c r="O230"/>
      <c r="P230"/>
    </row>
    <row r="231" spans="10:16" ht="15.5" customHeight="1" x14ac:dyDescent="0.35">
      <c r="J231" s="144">
        <f>AH207</f>
        <v>0</v>
      </c>
      <c r="K231"/>
      <c r="L231"/>
      <c r="M231"/>
      <c r="N231"/>
      <c r="O231"/>
      <c r="P231"/>
    </row>
    <row r="232" spans="10:16" ht="15.5" customHeight="1" x14ac:dyDescent="0.35">
      <c r="J232" s="144">
        <f>AJ207</f>
        <v>0</v>
      </c>
      <c r="K232"/>
      <c r="L232"/>
      <c r="M232"/>
      <c r="N232"/>
      <c r="O232"/>
      <c r="P232"/>
    </row>
    <row r="233" spans="10:16" ht="15.5" customHeight="1" x14ac:dyDescent="0.35">
      <c r="J233" s="144">
        <f>AL207</f>
        <v>0</v>
      </c>
      <c r="K233"/>
      <c r="L233"/>
      <c r="M233"/>
      <c r="N233"/>
      <c r="O233"/>
      <c r="P233"/>
    </row>
    <row r="234" spans="10:16" ht="15.5" customHeight="1" x14ac:dyDescent="0.35">
      <c r="J234" s="144">
        <f>AN207</f>
        <v>0</v>
      </c>
      <c r="K234"/>
      <c r="L234"/>
      <c r="M234"/>
      <c r="N234"/>
      <c r="O234"/>
      <c r="P234"/>
    </row>
    <row r="235" spans="10:16" x14ac:dyDescent="0.35">
      <c r="J235" s="145">
        <f>SUM(J229:J234)</f>
        <v>0</v>
      </c>
      <c r="K235"/>
      <c r="L235"/>
      <c r="M235"/>
      <c r="N235"/>
      <c r="O235"/>
      <c r="P235"/>
    </row>
    <row r="236" spans="10:16" x14ac:dyDescent="0.35">
      <c r="K236"/>
      <c r="L236"/>
      <c r="M236"/>
      <c r="N236"/>
      <c r="O236"/>
      <c r="P236"/>
    </row>
    <row r="237" spans="10:16" x14ac:dyDescent="0.35">
      <c r="K237"/>
      <c r="L237"/>
      <c r="M237"/>
      <c r="N237"/>
      <c r="O237"/>
      <c r="P237"/>
    </row>
    <row r="238" spans="10:16" ht="15.5" customHeight="1" x14ac:dyDescent="0.35">
      <c r="J238" s="143" t="s">
        <v>122</v>
      </c>
      <c r="K238"/>
      <c r="L238"/>
      <c r="M238"/>
      <c r="N238"/>
      <c r="O238"/>
      <c r="P238"/>
    </row>
    <row r="239" spans="10:16" ht="15.5" customHeight="1" x14ac:dyDescent="0.35">
      <c r="J239" s="144">
        <f>AQ207</f>
        <v>0</v>
      </c>
      <c r="K239"/>
      <c r="L239"/>
      <c r="M239"/>
      <c r="N239"/>
      <c r="O239"/>
      <c r="P239"/>
    </row>
    <row r="240" spans="10:16" ht="15.5" customHeight="1" x14ac:dyDescent="0.35">
      <c r="J240" s="144">
        <f>AS207</f>
        <v>0</v>
      </c>
      <c r="K240"/>
      <c r="L240"/>
      <c r="M240"/>
      <c r="N240"/>
      <c r="O240"/>
      <c r="P240"/>
    </row>
    <row r="241" spans="10:16" ht="15.5" customHeight="1" x14ac:dyDescent="0.35">
      <c r="J241" s="144">
        <f>AU207</f>
        <v>0</v>
      </c>
      <c r="K241"/>
      <c r="L241"/>
      <c r="M241"/>
      <c r="N241"/>
      <c r="O241"/>
      <c r="P241"/>
    </row>
    <row r="242" spans="10:16" ht="15.5" customHeight="1" x14ac:dyDescent="0.35">
      <c r="J242" s="144">
        <f>AW207</f>
        <v>0</v>
      </c>
      <c r="K242"/>
      <c r="L242"/>
      <c r="M242"/>
      <c r="N242"/>
      <c r="O242"/>
      <c r="P242"/>
    </row>
    <row r="243" spans="10:16" ht="15.5" customHeight="1" x14ac:dyDescent="0.35">
      <c r="J243" s="144">
        <f>AY207</f>
        <v>0</v>
      </c>
      <c r="K243"/>
      <c r="L243"/>
      <c r="M243"/>
      <c r="N243"/>
      <c r="O243"/>
      <c r="P243"/>
    </row>
    <row r="244" spans="10:16" ht="15.5" customHeight="1" x14ac:dyDescent="0.35">
      <c r="J244" s="144">
        <f>BA207</f>
        <v>0</v>
      </c>
      <c r="K244"/>
      <c r="L244"/>
      <c r="M244"/>
      <c r="N244"/>
      <c r="O244"/>
      <c r="P244"/>
    </row>
    <row r="245" spans="10:16" x14ac:dyDescent="0.35">
      <c r="J245" s="145">
        <f>SUM(J239:J244)</f>
        <v>0</v>
      </c>
      <c r="K245"/>
      <c r="L245"/>
      <c r="M245"/>
      <c r="N245"/>
      <c r="O245"/>
      <c r="P245"/>
    </row>
    <row r="246" spans="10:16" x14ac:dyDescent="0.35">
      <c r="K246"/>
      <c r="L246"/>
      <c r="M246"/>
      <c r="N246"/>
      <c r="O246"/>
      <c r="P246"/>
    </row>
    <row r="247" spans="10:16" x14ac:dyDescent="0.35">
      <c r="K247"/>
      <c r="L247"/>
      <c r="M247"/>
      <c r="N247"/>
      <c r="O247"/>
      <c r="P247"/>
    </row>
    <row r="248" spans="10:16" ht="15.5" customHeight="1" x14ac:dyDescent="0.35">
      <c r="J248" s="143" t="s">
        <v>122</v>
      </c>
      <c r="K248"/>
      <c r="L248"/>
      <c r="M248"/>
      <c r="N248"/>
      <c r="O248"/>
      <c r="P248"/>
    </row>
    <row r="249" spans="10:16" ht="15.5" customHeight="1" x14ac:dyDescent="0.35">
      <c r="J249" s="144">
        <f>BD207</f>
        <v>0</v>
      </c>
      <c r="K249"/>
      <c r="L249"/>
      <c r="M249"/>
      <c r="N249"/>
      <c r="O249"/>
      <c r="P249"/>
    </row>
    <row r="250" spans="10:16" ht="15.5" customHeight="1" x14ac:dyDescent="0.35">
      <c r="J250" s="144">
        <f>BF207</f>
        <v>0</v>
      </c>
      <c r="K250"/>
      <c r="L250"/>
      <c r="M250"/>
      <c r="N250"/>
      <c r="O250"/>
      <c r="P250"/>
    </row>
    <row r="251" spans="10:16" ht="15.5" customHeight="1" x14ac:dyDescent="0.35">
      <c r="J251" s="144">
        <f>BH207</f>
        <v>0</v>
      </c>
      <c r="K251"/>
      <c r="L251"/>
      <c r="M251"/>
      <c r="N251"/>
      <c r="O251"/>
      <c r="P251"/>
    </row>
    <row r="252" spans="10:16" ht="15.5" customHeight="1" x14ac:dyDescent="0.35">
      <c r="J252" s="144">
        <f>BJ207</f>
        <v>0</v>
      </c>
      <c r="K252"/>
      <c r="L252"/>
      <c r="M252"/>
      <c r="N252"/>
      <c r="O252"/>
      <c r="P252"/>
    </row>
    <row r="253" spans="10:16" ht="15.5" customHeight="1" x14ac:dyDescent="0.35">
      <c r="J253" s="144">
        <f>BL207</f>
        <v>0</v>
      </c>
      <c r="K253"/>
      <c r="L253"/>
      <c r="M253"/>
      <c r="N253"/>
      <c r="O253"/>
      <c r="P253"/>
    </row>
    <row r="254" spans="10:16" ht="15.5" customHeight="1" x14ac:dyDescent="0.35">
      <c r="J254" s="144">
        <f>BN207</f>
        <v>0</v>
      </c>
      <c r="K254"/>
      <c r="L254"/>
      <c r="M254"/>
      <c r="N254"/>
      <c r="O254"/>
      <c r="P254"/>
    </row>
    <row r="255" spans="10:16" x14ac:dyDescent="0.35">
      <c r="J255" s="145">
        <f>SUM(J249:J254)</f>
        <v>0</v>
      </c>
      <c r="K255"/>
      <c r="L255"/>
      <c r="M255"/>
      <c r="N255"/>
      <c r="O255"/>
      <c r="P255"/>
    </row>
    <row r="256" spans="10:16" x14ac:dyDescent="0.35">
      <c r="K256"/>
      <c r="L256"/>
      <c r="M256"/>
      <c r="N256"/>
      <c r="O256"/>
      <c r="P256"/>
    </row>
    <row r="257" spans="10:16" x14ac:dyDescent="0.35">
      <c r="K257"/>
      <c r="L257"/>
      <c r="M257"/>
      <c r="N257"/>
      <c r="O257"/>
      <c r="P257"/>
    </row>
    <row r="258" spans="10:16" ht="15.5" customHeight="1" x14ac:dyDescent="0.35">
      <c r="J258" s="143" t="s">
        <v>122</v>
      </c>
      <c r="K258"/>
      <c r="L258"/>
      <c r="M258"/>
      <c r="N258"/>
      <c r="O258"/>
      <c r="P258"/>
    </row>
    <row r="259" spans="10:16" ht="15.5" customHeight="1" x14ac:dyDescent="0.35">
      <c r="J259" s="144">
        <f>BQ207</f>
        <v>0</v>
      </c>
      <c r="K259"/>
      <c r="L259"/>
      <c r="M259"/>
      <c r="N259"/>
      <c r="O259"/>
      <c r="P259"/>
    </row>
    <row r="260" spans="10:16" ht="15.5" customHeight="1" x14ac:dyDescent="0.35">
      <c r="J260" s="144">
        <f>BS207</f>
        <v>0</v>
      </c>
      <c r="K260"/>
      <c r="L260"/>
      <c r="M260"/>
      <c r="N260"/>
      <c r="O260"/>
      <c r="P260"/>
    </row>
    <row r="261" spans="10:16" ht="15.5" customHeight="1" x14ac:dyDescent="0.35">
      <c r="J261" s="144">
        <f>BU207</f>
        <v>0</v>
      </c>
      <c r="K261"/>
      <c r="L261"/>
      <c r="M261"/>
      <c r="N261"/>
      <c r="O261"/>
      <c r="P261"/>
    </row>
    <row r="262" spans="10:16" ht="15.5" customHeight="1" x14ac:dyDescent="0.35">
      <c r="J262" s="144">
        <f>BW207</f>
        <v>0</v>
      </c>
      <c r="K262"/>
      <c r="L262"/>
      <c r="M262"/>
      <c r="N262"/>
      <c r="O262"/>
      <c r="P262"/>
    </row>
    <row r="263" spans="10:16" ht="15.5" customHeight="1" x14ac:dyDescent="0.35">
      <c r="J263" s="144">
        <f>BY207</f>
        <v>0</v>
      </c>
      <c r="K263"/>
      <c r="L263"/>
      <c r="M263"/>
      <c r="N263"/>
      <c r="O263"/>
      <c r="P263"/>
    </row>
    <row r="264" spans="10:16" ht="15.5" customHeight="1" x14ac:dyDescent="0.35">
      <c r="J264" s="144">
        <f>CA207</f>
        <v>0</v>
      </c>
      <c r="K264"/>
      <c r="L264"/>
      <c r="M264"/>
      <c r="N264"/>
      <c r="O264"/>
      <c r="P264"/>
    </row>
    <row r="265" spans="10:16" x14ac:dyDescent="0.35">
      <c r="J265" s="145">
        <f>SUM(J259:J264)</f>
        <v>0</v>
      </c>
      <c r="K265"/>
      <c r="L265"/>
      <c r="M265"/>
      <c r="N265"/>
      <c r="O265"/>
      <c r="P265"/>
    </row>
    <row r="266" spans="10:16" x14ac:dyDescent="0.35">
      <c r="K266"/>
      <c r="L266"/>
      <c r="M266"/>
      <c r="N266"/>
      <c r="O266"/>
      <c r="P266"/>
    </row>
    <row r="267" spans="10:16" x14ac:dyDescent="0.35">
      <c r="K267"/>
      <c r="L267"/>
      <c r="M267"/>
      <c r="N267"/>
      <c r="O267"/>
      <c r="P267"/>
    </row>
    <row r="268" spans="10:16" ht="15.5" customHeight="1" x14ac:dyDescent="0.35">
      <c r="J268" s="143" t="s">
        <v>122</v>
      </c>
      <c r="K268"/>
      <c r="L268"/>
      <c r="M268"/>
      <c r="N268"/>
      <c r="O268"/>
      <c r="P268"/>
    </row>
    <row r="269" spans="10:16" ht="15.5" customHeight="1" x14ac:dyDescent="0.35">
      <c r="J269" s="144">
        <f>CD207</f>
        <v>0</v>
      </c>
      <c r="K269"/>
      <c r="L269"/>
      <c r="M269"/>
      <c r="N269"/>
      <c r="O269"/>
      <c r="P269"/>
    </row>
    <row r="270" spans="10:16" ht="15.5" customHeight="1" x14ac:dyDescent="0.35">
      <c r="J270" s="144">
        <f>CF207</f>
        <v>0</v>
      </c>
      <c r="K270"/>
      <c r="L270"/>
      <c r="M270"/>
      <c r="N270"/>
      <c r="O270"/>
      <c r="P270"/>
    </row>
    <row r="271" spans="10:16" ht="15.5" customHeight="1" x14ac:dyDescent="0.35">
      <c r="J271" s="144">
        <f>CH207</f>
        <v>0</v>
      </c>
      <c r="K271"/>
      <c r="L271"/>
      <c r="M271"/>
      <c r="N271"/>
      <c r="O271"/>
      <c r="P271"/>
    </row>
    <row r="272" spans="10:16" ht="15.5" customHeight="1" x14ac:dyDescent="0.35">
      <c r="J272" s="144">
        <f>CW207</f>
        <v>0</v>
      </c>
      <c r="K272"/>
      <c r="L272"/>
      <c r="M272"/>
      <c r="N272"/>
      <c r="O272"/>
      <c r="P272"/>
    </row>
    <row r="273" spans="10:16" ht="15.5" customHeight="1" x14ac:dyDescent="0.35">
      <c r="J273" s="144">
        <f>CL207</f>
        <v>0</v>
      </c>
      <c r="K273"/>
      <c r="L273"/>
      <c r="M273"/>
      <c r="N273"/>
      <c r="O273"/>
      <c r="P273"/>
    </row>
    <row r="274" spans="10:16" ht="15.5" customHeight="1" x14ac:dyDescent="0.35">
      <c r="J274" s="144">
        <f>CN207</f>
        <v>0</v>
      </c>
      <c r="K274"/>
      <c r="L274"/>
      <c r="M274"/>
      <c r="N274"/>
      <c r="O274"/>
      <c r="P274"/>
    </row>
    <row r="275" spans="10:16" x14ac:dyDescent="0.35">
      <c r="J275" s="145">
        <f>SUM(J269:J274)</f>
        <v>0</v>
      </c>
      <c r="K275"/>
      <c r="L275"/>
      <c r="M275"/>
      <c r="N275"/>
      <c r="O275"/>
      <c r="P275"/>
    </row>
    <row r="276" spans="10:16" x14ac:dyDescent="0.35">
      <c r="K276"/>
      <c r="L276"/>
      <c r="M276"/>
      <c r="N276"/>
      <c r="O276"/>
      <c r="P276"/>
    </row>
    <row r="277" spans="10:16" x14ac:dyDescent="0.35">
      <c r="K277"/>
      <c r="L277"/>
      <c r="M277"/>
      <c r="N277"/>
      <c r="O277"/>
      <c r="P277"/>
    </row>
    <row r="278" spans="10:16" ht="15.5" customHeight="1" x14ac:dyDescent="0.35">
      <c r="J278" s="143" t="s">
        <v>122</v>
      </c>
      <c r="K278"/>
      <c r="L278"/>
      <c r="M278"/>
      <c r="N278"/>
      <c r="O278"/>
      <c r="P278"/>
    </row>
    <row r="279" spans="10:16" ht="15.5" customHeight="1" x14ac:dyDescent="0.35">
      <c r="J279" s="144">
        <f>CQ207</f>
        <v>0</v>
      </c>
      <c r="K279"/>
      <c r="L279"/>
      <c r="M279"/>
      <c r="N279"/>
      <c r="O279"/>
      <c r="P279"/>
    </row>
    <row r="280" spans="10:16" ht="15.5" customHeight="1" x14ac:dyDescent="0.35">
      <c r="J280" s="144">
        <f>CS207</f>
        <v>0</v>
      </c>
      <c r="K280"/>
      <c r="L280"/>
      <c r="M280"/>
      <c r="N280"/>
      <c r="O280"/>
      <c r="P280"/>
    </row>
    <row r="281" spans="10:16" ht="15.5" customHeight="1" x14ac:dyDescent="0.35">
      <c r="J281" s="144">
        <f>CU207</f>
        <v>0</v>
      </c>
      <c r="K281"/>
      <c r="L281"/>
      <c r="M281"/>
      <c r="N281"/>
      <c r="O281"/>
      <c r="P281"/>
    </row>
    <row r="282" spans="10:16" ht="15.5" customHeight="1" x14ac:dyDescent="0.35">
      <c r="J282" s="144">
        <f>CW207</f>
        <v>0</v>
      </c>
      <c r="K282"/>
      <c r="L282"/>
      <c r="M282"/>
      <c r="N282"/>
      <c r="O282"/>
      <c r="P282"/>
    </row>
    <row r="283" spans="10:16" ht="15.5" customHeight="1" x14ac:dyDescent="0.35">
      <c r="J283" s="144">
        <f>CY207</f>
        <v>0</v>
      </c>
      <c r="K283"/>
      <c r="L283"/>
      <c r="M283"/>
      <c r="N283"/>
      <c r="O283"/>
      <c r="P283"/>
    </row>
    <row r="284" spans="10:16" ht="15.5" customHeight="1" x14ac:dyDescent="0.35">
      <c r="J284" s="144">
        <f>DA207</f>
        <v>0</v>
      </c>
      <c r="K284"/>
      <c r="L284"/>
      <c r="M284"/>
      <c r="N284"/>
      <c r="O284"/>
      <c r="P284"/>
    </row>
    <row r="285" spans="10:16" x14ac:dyDescent="0.35">
      <c r="J285" s="145">
        <f>SUM(J279:J284)</f>
        <v>0</v>
      </c>
      <c r="K285"/>
      <c r="L285"/>
      <c r="M285"/>
      <c r="N285"/>
      <c r="O285"/>
      <c r="P285"/>
    </row>
    <row r="286" spans="10:16" x14ac:dyDescent="0.35">
      <c r="K286"/>
      <c r="L286"/>
      <c r="M286"/>
      <c r="N286"/>
      <c r="O286"/>
      <c r="P286"/>
    </row>
    <row r="287" spans="10:16" x14ac:dyDescent="0.35">
      <c r="K287"/>
      <c r="L287"/>
      <c r="M287"/>
      <c r="N287"/>
      <c r="O287"/>
      <c r="P287"/>
    </row>
    <row r="288" spans="10:16" x14ac:dyDescent="0.35">
      <c r="K288"/>
      <c r="L288"/>
      <c r="M288"/>
      <c r="N288"/>
      <c r="O288"/>
      <c r="P288"/>
    </row>
  </sheetData>
  <mergeCells count="16">
    <mergeCell ref="X3:X4"/>
    <mergeCell ref="Y3:Y4"/>
    <mergeCell ref="Z3:Z4"/>
    <mergeCell ref="AA3:AA4"/>
    <mergeCell ref="O205:P205"/>
    <mergeCell ref="C3:C4"/>
    <mergeCell ref="J1:K1"/>
    <mergeCell ref="H2:I2"/>
    <mergeCell ref="Q2:AA2"/>
    <mergeCell ref="Q3:Q4"/>
    <mergeCell ref="R3:R4"/>
    <mergeCell ref="S3:S4"/>
    <mergeCell ref="T3:T4"/>
    <mergeCell ref="U3:U4"/>
    <mergeCell ref="V3:V4"/>
    <mergeCell ref="W3:W4"/>
  </mergeCells>
  <dataValidations count="1">
    <dataValidation type="list" allowBlank="1" showInputMessage="1" showErrorMessage="1" sqref="L1:N1" xr:uid="{F9DD3AFC-700E-45D0-A159-2A9A67AABF9A}">
      <formula1>$DU$5:$DU$10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08A02-6593-471D-84BE-33D4704962CC}">
  <dimension ref="A1:A2"/>
  <sheetViews>
    <sheetView workbookViewId="0">
      <selection activeCell="A10" sqref="A10"/>
    </sheetView>
  </sheetViews>
  <sheetFormatPr defaultRowHeight="14.5" x14ac:dyDescent="0.35"/>
  <cols>
    <col min="1" max="1" width="126.26953125" style="1" customWidth="1"/>
  </cols>
  <sheetData>
    <row r="1" spans="1:1" ht="15" thickBot="1" x14ac:dyDescent="0.4">
      <c r="A1" s="3" t="s">
        <v>3</v>
      </c>
    </row>
    <row r="2" spans="1:1" x14ac:dyDescent="0.35">
      <c r="A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D254-F543-409E-919A-094504A9AC4E}">
  <dimension ref="A1:G37"/>
  <sheetViews>
    <sheetView workbookViewId="0">
      <selection activeCell="G18" sqref="G18"/>
    </sheetView>
  </sheetViews>
  <sheetFormatPr defaultRowHeight="14.5" x14ac:dyDescent="0.35"/>
  <cols>
    <col min="1" max="1" width="35.453125" bestFit="1" customWidth="1"/>
    <col min="2" max="2" width="48.26953125" customWidth="1"/>
    <col min="3" max="3" width="21.1796875" bestFit="1" customWidth="1"/>
    <col min="4" max="4" width="12.54296875" customWidth="1"/>
    <col min="5" max="5" width="14.7265625" customWidth="1"/>
    <col min="7" max="7" width="31.453125" bestFit="1" customWidth="1"/>
  </cols>
  <sheetData>
    <row r="1" spans="1:7" ht="15" thickBot="1" x14ac:dyDescent="0.4">
      <c r="A1" s="72" t="s">
        <v>5</v>
      </c>
      <c r="B1" s="73"/>
      <c r="C1" s="73"/>
      <c r="D1" s="73"/>
      <c r="E1" s="74"/>
      <c r="G1" s="17"/>
    </row>
    <row r="2" spans="1:7" ht="15" thickBot="1" x14ac:dyDescent="0.4">
      <c r="A2" s="3" t="s">
        <v>6</v>
      </c>
      <c r="B2" s="3" t="s">
        <v>7</v>
      </c>
      <c r="C2" s="3" t="s">
        <v>8</v>
      </c>
      <c r="D2" s="5"/>
      <c r="E2" s="5"/>
      <c r="G2" s="18" t="s">
        <v>13</v>
      </c>
    </row>
    <row r="3" spans="1:7" x14ac:dyDescent="0.35">
      <c r="A3" s="6"/>
      <c r="B3" s="7"/>
      <c r="C3" s="8"/>
      <c r="D3" s="2"/>
      <c r="E3" s="2"/>
      <c r="G3" s="21"/>
    </row>
    <row r="4" spans="1:7" x14ac:dyDescent="0.35">
      <c r="A4" s="9"/>
      <c r="B4" s="10"/>
      <c r="C4" s="8"/>
      <c r="D4" s="1"/>
      <c r="E4" s="1"/>
      <c r="G4" s="21"/>
    </row>
    <row r="5" spans="1:7" x14ac:dyDescent="0.35">
      <c r="A5" s="9"/>
      <c r="B5" s="10"/>
      <c r="C5" s="8"/>
      <c r="D5" s="10"/>
      <c r="E5" s="1"/>
      <c r="G5" s="21"/>
    </row>
    <row r="6" spans="1:7" x14ac:dyDescent="0.35">
      <c r="A6" s="11"/>
      <c r="B6" s="10"/>
      <c r="C6" s="8"/>
      <c r="D6" s="1"/>
      <c r="E6" s="1"/>
      <c r="G6" s="21"/>
    </row>
    <row r="7" spans="1:7" x14ac:dyDescent="0.35">
      <c r="A7" s="9"/>
      <c r="B7" s="10"/>
      <c r="C7" s="8"/>
      <c r="D7" s="1"/>
      <c r="E7" s="1"/>
      <c r="G7" s="21"/>
    </row>
    <row r="8" spans="1:7" x14ac:dyDescent="0.35">
      <c r="A8" s="9"/>
      <c r="B8" s="10"/>
      <c r="C8" s="8"/>
      <c r="D8" s="1"/>
      <c r="E8" s="1"/>
      <c r="G8" s="21"/>
    </row>
    <row r="9" spans="1:7" x14ac:dyDescent="0.35">
      <c r="A9" s="9"/>
      <c r="B9" s="10"/>
      <c r="C9" s="8"/>
      <c r="D9" s="1"/>
      <c r="E9" s="1"/>
      <c r="G9" s="21"/>
    </row>
    <row r="10" spans="1:7" ht="15" thickBot="1" x14ac:dyDescent="0.4">
      <c r="A10" s="9"/>
      <c r="B10" s="10"/>
      <c r="C10" s="8"/>
      <c r="D10" s="1"/>
      <c r="E10" s="1"/>
      <c r="G10" s="22"/>
    </row>
    <row r="11" spans="1:7" x14ac:dyDescent="0.35">
      <c r="A11" s="9"/>
      <c r="B11" s="10"/>
      <c r="C11" s="8"/>
      <c r="D11" s="1"/>
      <c r="E11" s="1"/>
    </row>
    <row r="12" spans="1:7" x14ac:dyDescent="0.35">
      <c r="A12" s="12"/>
      <c r="B12" s="10"/>
      <c r="C12" s="12"/>
      <c r="D12" s="12"/>
      <c r="E12" s="12"/>
    </row>
    <row r="13" spans="1:7" x14ac:dyDescent="0.35">
      <c r="A13" s="9"/>
      <c r="B13" s="12"/>
      <c r="C13" s="12"/>
      <c r="D13" s="12"/>
      <c r="E13" s="12"/>
    </row>
    <row r="14" spans="1:7" x14ac:dyDescent="0.35">
      <c r="A14" s="9"/>
      <c r="B14" s="10"/>
      <c r="C14" s="12"/>
      <c r="D14" s="12"/>
      <c r="E14" s="12"/>
    </row>
    <row r="15" spans="1:7" x14ac:dyDescent="0.35">
      <c r="A15" s="9"/>
      <c r="B15" s="10"/>
      <c r="C15" s="12"/>
      <c r="D15" s="12"/>
      <c r="E15" s="12"/>
    </row>
    <row r="16" spans="1:7" x14ac:dyDescent="0.35">
      <c r="A16" s="9"/>
      <c r="B16" s="10"/>
      <c r="C16" s="12"/>
      <c r="D16" s="12"/>
      <c r="E16" s="12"/>
    </row>
    <row r="17" spans="1:5" x14ac:dyDescent="0.35">
      <c r="A17" s="9"/>
      <c r="B17" s="10"/>
      <c r="C17" s="12"/>
      <c r="D17" s="12"/>
      <c r="E17" s="12"/>
    </row>
    <row r="18" spans="1:5" x14ac:dyDescent="0.35">
      <c r="A18" s="9"/>
      <c r="B18" s="12"/>
      <c r="C18" s="12"/>
      <c r="D18" s="12"/>
      <c r="E18" s="12"/>
    </row>
    <row r="19" spans="1:5" x14ac:dyDescent="0.35">
      <c r="A19" s="12"/>
      <c r="B19" s="10"/>
      <c r="C19" s="12"/>
      <c r="D19" s="12"/>
      <c r="E19" s="12"/>
    </row>
    <row r="20" spans="1:5" x14ac:dyDescent="0.35">
      <c r="A20" s="12"/>
      <c r="B20" s="10"/>
      <c r="C20" s="12"/>
      <c r="D20" s="12"/>
      <c r="E20" s="12"/>
    </row>
    <row r="21" spans="1:5" x14ac:dyDescent="0.35">
      <c r="A21" s="12"/>
      <c r="B21" s="10"/>
      <c r="C21" s="12"/>
      <c r="D21" s="12"/>
      <c r="E21" s="12"/>
    </row>
    <row r="22" spans="1:5" x14ac:dyDescent="0.35">
      <c r="A22" s="1"/>
      <c r="B22" s="1"/>
      <c r="C22" s="1"/>
      <c r="D22" s="1"/>
      <c r="E22" s="1"/>
    </row>
    <row r="23" spans="1:5" x14ac:dyDescent="0.35">
      <c r="A23" s="12"/>
      <c r="B23" s="10"/>
      <c r="C23" s="12"/>
      <c r="D23" s="12"/>
      <c r="E23" s="12"/>
    </row>
    <row r="24" spans="1:5" x14ac:dyDescent="0.35">
      <c r="A24" s="12"/>
      <c r="B24" s="10"/>
      <c r="C24" s="12"/>
      <c r="D24" s="12"/>
      <c r="E24" s="12"/>
    </row>
    <row r="25" spans="1:5" x14ac:dyDescent="0.35">
      <c r="A25" s="1"/>
      <c r="B25" s="1"/>
      <c r="C25" s="1"/>
      <c r="D25" s="1"/>
      <c r="E25" s="1"/>
    </row>
    <row r="26" spans="1:5" x14ac:dyDescent="0.35">
      <c r="A26" s="12"/>
      <c r="B26" s="10"/>
      <c r="C26" s="12"/>
      <c r="D26" s="12"/>
      <c r="E26" s="12"/>
    </row>
    <row r="27" spans="1:5" x14ac:dyDescent="0.35">
      <c r="A27" s="12"/>
      <c r="B27" s="10"/>
      <c r="C27" s="12"/>
      <c r="D27" s="12"/>
      <c r="E27" s="12"/>
    </row>
    <row r="28" spans="1:5" x14ac:dyDescent="0.35">
      <c r="A28" s="1"/>
      <c r="B28" s="1"/>
      <c r="C28" s="1"/>
      <c r="D28" s="1"/>
      <c r="E28" s="1"/>
    </row>
    <row r="29" spans="1:5" x14ac:dyDescent="0.35">
      <c r="A29" s="12"/>
      <c r="B29" s="10"/>
      <c r="C29" s="12"/>
      <c r="D29" s="12"/>
      <c r="E29" s="12"/>
    </row>
    <row r="30" spans="1:5" x14ac:dyDescent="0.35">
      <c r="A30" s="12"/>
      <c r="B30" s="10"/>
      <c r="C30" s="12"/>
      <c r="D30" s="12"/>
      <c r="E30" s="12"/>
    </row>
    <row r="31" spans="1:5" x14ac:dyDescent="0.35">
      <c r="A31" s="1"/>
      <c r="B31" s="1"/>
      <c r="C31" s="1"/>
      <c r="D31" s="1"/>
      <c r="E31" s="1"/>
    </row>
    <row r="32" spans="1:5" x14ac:dyDescent="0.35">
      <c r="A32" s="20" t="s">
        <v>9</v>
      </c>
    </row>
    <row r="33" spans="1:1" x14ac:dyDescent="0.35">
      <c r="A33" s="12" t="s">
        <v>10</v>
      </c>
    </row>
    <row r="34" spans="1:1" x14ac:dyDescent="0.35">
      <c r="A34" s="12" t="s">
        <v>11</v>
      </c>
    </row>
    <row r="35" spans="1:1" x14ac:dyDescent="0.35">
      <c r="A35" s="12" t="s">
        <v>12</v>
      </c>
    </row>
    <row r="36" spans="1:1" x14ac:dyDescent="0.35">
      <c r="A36" s="10"/>
    </row>
    <row r="37" spans="1:1" x14ac:dyDescent="0.35">
      <c r="A37" s="1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</vt:lpstr>
      <vt:lpstr>Dates</vt:lpstr>
      <vt:lpstr>CC Bid Checklist</vt:lpstr>
      <vt:lpstr>TV &amp; CIPP LS</vt:lpstr>
      <vt:lpstr>MH Rehab</vt:lpstr>
      <vt:lpstr>Questions to Submit</vt:lpstr>
      <vt:lpstr>Responsibilities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Duncan</dc:creator>
  <cp:lastModifiedBy>Catherine Corrigan</cp:lastModifiedBy>
  <dcterms:created xsi:type="dcterms:W3CDTF">2025-07-14T12:50:25Z</dcterms:created>
  <dcterms:modified xsi:type="dcterms:W3CDTF">2026-03-05T16:59:49Z</dcterms:modified>
</cp:coreProperties>
</file>